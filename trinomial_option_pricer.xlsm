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ordaxar/Desktop/vba/"/>
    </mc:Choice>
  </mc:AlternateContent>
  <xr:revisionPtr revIDLastSave="0" documentId="13_ncr:1_{B46F6E04-7E04-7B41-BCEC-66AA55247D3E}" xr6:coauthVersionLast="47" xr6:coauthVersionMax="47" xr10:uidLastSave="{00000000-0000-0000-0000-000000000000}"/>
  <bookViews>
    <workbookView xWindow="6020" yWindow="500" windowWidth="21840" windowHeight="16300" xr2:uid="{7C20B02F-7AB1-47C6-A201-C2C0DC634FA9}"/>
  </bookViews>
  <sheets>
    <sheet name="Pricer" sheetId="1" r:id="rId1"/>
    <sheet name="BS" sheetId="4" r:id="rId2"/>
    <sheet name="Steps" sheetId="2" r:id="rId3"/>
    <sheet name="Strike" sheetId="3" r:id="rId4"/>
  </sheets>
  <functionGroups builtInGroupCount="19"/>
  <definedNames>
    <definedName name="Black_Scholes_price">Pricer!$F$17</definedName>
    <definedName name="Div_ex_date">Pricer!$F$8</definedName>
    <definedName name="Dividend">Pricer!$F$7</definedName>
    <definedName name="Error_upper_bound">Pricer!$F$16</definedName>
    <definedName name="Exe">Steps!$I$14</definedName>
    <definedName name="Exercise">Pricer!$F$11</definedName>
    <definedName name="Int_rate">Steps!$I$10</definedName>
    <definedName name="Interest_rate">Pricer!$F$5</definedName>
    <definedName name="Maturity">Pricer!$F$9</definedName>
    <definedName name="Maturity_date">Steps!$I$8</definedName>
    <definedName name="Nb_steps">Pricer!$F$14</definedName>
    <definedName name="Price">Pricer!$F$4</definedName>
    <definedName name="Price_py">Pricer!$F$18</definedName>
    <definedName name="Pricing_date">Steps!$I$9</definedName>
    <definedName name="Pruning">Pricer!$F$13</definedName>
    <definedName name="Run_time">Pricer!$F$20</definedName>
    <definedName name="Start_date">Pricer!$F$3</definedName>
    <definedName name="Start_price">Pricer!$F$4</definedName>
    <definedName name="Steps">Steps!$B$8:$B$412</definedName>
    <definedName name="Stock_price">Steps!$I$7</definedName>
    <definedName name="Strike">Pricer!$F$12</definedName>
    <definedName name="Strikee">Steps!$I$12</definedName>
    <definedName name="Time">BS!$B$7</definedName>
    <definedName name="Trinomial_price">Pricer!$F$19</definedName>
    <definedName name="Type">Pricer!$F$10</definedName>
    <definedName name="Typo">Steps!$I$13</definedName>
    <definedName name="Vol">Steps!$I$11</definedName>
    <definedName name="Volatility">Pricer!$F$6</definedName>
  </definedNames>
  <calcPr calcId="191029" calcOnSave="0"/>
  <extLst>
    <ext xmlns:x14="http://schemas.microsoft.com/office/spreadsheetml/2009/9/main" uri="{8193D73E-4604-4355-AFF4-8A2333D13BE4}">
      <x14:definedNames>
        <x14:definedName name="check">
          <x14:argumentDescriptions count="1">
            <x14:argumentDescription index="0">Positional argument 1</x14:argumentDescription>
          </x14:argumentDescriptions>
        </x14:definedName>
        <x14:definedName name="pricer_trino">
          <x14:argumentDescriptions count="11">
            <x14:argumentDescription index="0">interest rate</x14:argumentDescription>
            <x14:argumentDescription index="1">volatility</x14:argumentDescription>
            <x14:argumentDescription index="2">dividend amount</x14:argumentDescription>
            <x14:argumentDescription index="3">dividend ex-date</x14:argumentDescription>
            <x14:argumentDescription index="4">starting price</x14:argumentDescription>
            <x14:argumentDescription index="5">strike</x14:argumentDescription>
            <x14:argumentDescription index="6">pricing date</x14:argumentDescription>
            <x14:argumentDescription index="7">maturity date</x14:argumentDescription>
            <x14:argumentDescription index="8">option type</x14:argumentDescription>
            <x14:argumentDescription index="9">exercise type</x14:argumentDescription>
            <x14:argumentDescription index="10">number of steps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8" i="1" l="1" a="1"/>
  <c r="F18" i="1" s="1"/>
  <c r="D9" i="2"/>
  <c r="D10" i="2"/>
  <c r="D11" i="2"/>
  <c r="D12" i="2"/>
  <c r="F12" i="2" s="1"/>
  <c r="D13" i="2"/>
  <c r="D14" i="2"/>
  <c r="D15" i="2"/>
  <c r="D16" i="2"/>
  <c r="F16" i="2" s="1"/>
  <c r="D17" i="2"/>
  <c r="D18" i="2"/>
  <c r="D19" i="2"/>
  <c r="D20" i="2"/>
  <c r="F20" i="2" s="1"/>
  <c r="D21" i="2"/>
  <c r="D22" i="2"/>
  <c r="D23" i="2"/>
  <c r="D24" i="2"/>
  <c r="F24" i="2" s="1"/>
  <c r="D25" i="2"/>
  <c r="D26" i="2"/>
  <c r="D27" i="2"/>
  <c r="D28" i="2"/>
  <c r="F28" i="2" s="1"/>
  <c r="D29" i="2"/>
  <c r="D30" i="2"/>
  <c r="D31" i="2"/>
  <c r="D32" i="2"/>
  <c r="F32" i="2" s="1"/>
  <c r="D33" i="2"/>
  <c r="D34" i="2"/>
  <c r="D35" i="2"/>
  <c r="D36" i="2"/>
  <c r="F36" i="2" s="1"/>
  <c r="D37" i="2"/>
  <c r="D38" i="2"/>
  <c r="D39" i="2"/>
  <c r="D40" i="2"/>
  <c r="F40" i="2" s="1"/>
  <c r="D41" i="2"/>
  <c r="D42" i="2"/>
  <c r="D43" i="2"/>
  <c r="D44" i="2"/>
  <c r="F44" i="2" s="1"/>
  <c r="D45" i="2"/>
  <c r="D46" i="2"/>
  <c r="D47" i="2"/>
  <c r="D48" i="2"/>
  <c r="F48" i="2" s="1"/>
  <c r="D49" i="2"/>
  <c r="D50" i="2"/>
  <c r="D51" i="2"/>
  <c r="D52" i="2"/>
  <c r="F52" i="2" s="1"/>
  <c r="D53" i="2"/>
  <c r="D54" i="2"/>
  <c r="D55" i="2"/>
  <c r="D56" i="2"/>
  <c r="F56" i="2" s="1"/>
  <c r="D57" i="2"/>
  <c r="D58" i="2"/>
  <c r="D59" i="2"/>
  <c r="D60" i="2"/>
  <c r="F60" i="2" s="1"/>
  <c r="D61" i="2"/>
  <c r="D62" i="2"/>
  <c r="D63" i="2"/>
  <c r="D64" i="2"/>
  <c r="F64" i="2" s="1"/>
  <c r="D65" i="2"/>
  <c r="D66" i="2"/>
  <c r="D67" i="2"/>
  <c r="D68" i="2"/>
  <c r="F68" i="2" s="1"/>
  <c r="D69" i="2"/>
  <c r="D70" i="2"/>
  <c r="D71" i="2"/>
  <c r="D72" i="2"/>
  <c r="F72" i="2" s="1"/>
  <c r="D73" i="2"/>
  <c r="D74" i="2"/>
  <c r="D75" i="2"/>
  <c r="D76" i="2"/>
  <c r="F76" i="2" s="1"/>
  <c r="D77" i="2"/>
  <c r="D78" i="2"/>
  <c r="D79" i="2"/>
  <c r="D80" i="2"/>
  <c r="F80" i="2" s="1"/>
  <c r="D81" i="2"/>
  <c r="D82" i="2"/>
  <c r="D83" i="2"/>
  <c r="D84" i="2"/>
  <c r="F84" i="2" s="1"/>
  <c r="D85" i="2"/>
  <c r="D86" i="2"/>
  <c r="D87" i="2"/>
  <c r="D88" i="2"/>
  <c r="F88" i="2" s="1"/>
  <c r="D89" i="2"/>
  <c r="D90" i="2"/>
  <c r="D91" i="2"/>
  <c r="D92" i="2"/>
  <c r="F92" i="2" s="1"/>
  <c r="D93" i="2"/>
  <c r="D94" i="2"/>
  <c r="D95" i="2"/>
  <c r="D96" i="2"/>
  <c r="F96" i="2" s="1"/>
  <c r="D97" i="2"/>
  <c r="D98" i="2"/>
  <c r="D99" i="2"/>
  <c r="D100" i="2"/>
  <c r="F100" i="2" s="1"/>
  <c r="D101" i="2"/>
  <c r="D102" i="2"/>
  <c r="D103" i="2"/>
  <c r="D104" i="2"/>
  <c r="F104" i="2" s="1"/>
  <c r="D105" i="2"/>
  <c r="D106" i="2"/>
  <c r="D107" i="2"/>
  <c r="D108" i="2"/>
  <c r="F108" i="2" s="1"/>
  <c r="D109" i="2"/>
  <c r="D110" i="2"/>
  <c r="D111" i="2"/>
  <c r="D112" i="2"/>
  <c r="F112" i="2" s="1"/>
  <c r="D113" i="2"/>
  <c r="D114" i="2"/>
  <c r="D115" i="2"/>
  <c r="D116" i="2"/>
  <c r="F116" i="2" s="1"/>
  <c r="D117" i="2"/>
  <c r="D118" i="2"/>
  <c r="D119" i="2"/>
  <c r="D120" i="2"/>
  <c r="F120" i="2" s="1"/>
  <c r="D121" i="2"/>
  <c r="D122" i="2"/>
  <c r="D123" i="2"/>
  <c r="D124" i="2"/>
  <c r="F124" i="2" s="1"/>
  <c r="D125" i="2"/>
  <c r="D126" i="2"/>
  <c r="D127" i="2"/>
  <c r="D128" i="2"/>
  <c r="F128" i="2" s="1"/>
  <c r="D129" i="2"/>
  <c r="D130" i="2"/>
  <c r="D131" i="2"/>
  <c r="D132" i="2"/>
  <c r="F132" i="2" s="1"/>
  <c r="D133" i="2"/>
  <c r="D134" i="2"/>
  <c r="D135" i="2"/>
  <c r="D136" i="2"/>
  <c r="F136" i="2" s="1"/>
  <c r="D137" i="2"/>
  <c r="D138" i="2"/>
  <c r="D139" i="2"/>
  <c r="D140" i="2"/>
  <c r="F140" i="2" s="1"/>
  <c r="D141" i="2"/>
  <c r="D142" i="2"/>
  <c r="D143" i="2"/>
  <c r="D144" i="2"/>
  <c r="F144" i="2" s="1"/>
  <c r="D145" i="2"/>
  <c r="D146" i="2"/>
  <c r="D147" i="2"/>
  <c r="D148" i="2"/>
  <c r="F148" i="2" s="1"/>
  <c r="D149" i="2"/>
  <c r="D150" i="2"/>
  <c r="D151" i="2"/>
  <c r="D152" i="2"/>
  <c r="F152" i="2" s="1"/>
  <c r="D153" i="2"/>
  <c r="D154" i="2"/>
  <c r="D155" i="2"/>
  <c r="D156" i="2"/>
  <c r="F156" i="2" s="1"/>
  <c r="D157" i="2"/>
  <c r="D158" i="2"/>
  <c r="D159" i="2"/>
  <c r="D160" i="2"/>
  <c r="F160" i="2" s="1"/>
  <c r="D161" i="2"/>
  <c r="D162" i="2"/>
  <c r="D163" i="2"/>
  <c r="D164" i="2"/>
  <c r="F164" i="2" s="1"/>
  <c r="D165" i="2"/>
  <c r="D166" i="2"/>
  <c r="D167" i="2"/>
  <c r="D168" i="2"/>
  <c r="F168" i="2" s="1"/>
  <c r="D169" i="2"/>
  <c r="D170" i="2"/>
  <c r="D171" i="2"/>
  <c r="D172" i="2"/>
  <c r="F172" i="2" s="1"/>
  <c r="D173" i="2"/>
  <c r="D174" i="2"/>
  <c r="D175" i="2"/>
  <c r="D176" i="2"/>
  <c r="F176" i="2" s="1"/>
  <c r="D177" i="2"/>
  <c r="D178" i="2"/>
  <c r="D179" i="2"/>
  <c r="D180" i="2"/>
  <c r="F180" i="2" s="1"/>
  <c r="D181" i="2"/>
  <c r="D182" i="2"/>
  <c r="D183" i="2"/>
  <c r="D184" i="2"/>
  <c r="F184" i="2" s="1"/>
  <c r="D185" i="2"/>
  <c r="D186" i="2"/>
  <c r="D187" i="2"/>
  <c r="D188" i="2"/>
  <c r="F188" i="2" s="1"/>
  <c r="D189" i="2"/>
  <c r="D190" i="2"/>
  <c r="D191" i="2"/>
  <c r="D192" i="2"/>
  <c r="F192" i="2" s="1"/>
  <c r="D193" i="2"/>
  <c r="D194" i="2"/>
  <c r="D195" i="2"/>
  <c r="D196" i="2"/>
  <c r="F196" i="2" s="1"/>
  <c r="D197" i="2"/>
  <c r="D198" i="2"/>
  <c r="D199" i="2"/>
  <c r="D200" i="2"/>
  <c r="F200" i="2" s="1"/>
  <c r="D201" i="2"/>
  <c r="D202" i="2"/>
  <c r="D203" i="2"/>
  <c r="D204" i="2"/>
  <c r="F204" i="2" s="1"/>
  <c r="D205" i="2"/>
  <c r="D206" i="2"/>
  <c r="D207" i="2"/>
  <c r="D208" i="2"/>
  <c r="F208" i="2" s="1"/>
  <c r="D209" i="2"/>
  <c r="D210" i="2"/>
  <c r="D211" i="2"/>
  <c r="D212" i="2"/>
  <c r="F212" i="2" s="1"/>
  <c r="D213" i="2"/>
  <c r="D214" i="2"/>
  <c r="D215" i="2"/>
  <c r="D216" i="2"/>
  <c r="F216" i="2" s="1"/>
  <c r="D217" i="2"/>
  <c r="D218" i="2"/>
  <c r="D219" i="2"/>
  <c r="D220" i="2"/>
  <c r="F220" i="2" s="1"/>
  <c r="D221" i="2"/>
  <c r="D222" i="2"/>
  <c r="D223" i="2"/>
  <c r="D224" i="2"/>
  <c r="F224" i="2" s="1"/>
  <c r="D225" i="2"/>
  <c r="D226" i="2"/>
  <c r="D227" i="2"/>
  <c r="D228" i="2"/>
  <c r="F228" i="2" s="1"/>
  <c r="D229" i="2"/>
  <c r="D230" i="2"/>
  <c r="D231" i="2"/>
  <c r="D232" i="2"/>
  <c r="F232" i="2" s="1"/>
  <c r="D233" i="2"/>
  <c r="D234" i="2"/>
  <c r="D235" i="2"/>
  <c r="D236" i="2"/>
  <c r="F236" i="2" s="1"/>
  <c r="D237" i="2"/>
  <c r="D238" i="2"/>
  <c r="D239" i="2"/>
  <c r="D240" i="2"/>
  <c r="F240" i="2" s="1"/>
  <c r="D241" i="2"/>
  <c r="D242" i="2"/>
  <c r="D243" i="2"/>
  <c r="D244" i="2"/>
  <c r="F244" i="2" s="1"/>
  <c r="D245" i="2"/>
  <c r="D246" i="2"/>
  <c r="D247" i="2"/>
  <c r="D248" i="2"/>
  <c r="F248" i="2" s="1"/>
  <c r="D249" i="2"/>
  <c r="D250" i="2"/>
  <c r="D251" i="2"/>
  <c r="D252" i="2"/>
  <c r="F252" i="2" s="1"/>
  <c r="D253" i="2"/>
  <c r="D254" i="2"/>
  <c r="D255" i="2"/>
  <c r="D256" i="2"/>
  <c r="F256" i="2" s="1"/>
  <c r="D257" i="2"/>
  <c r="D258" i="2"/>
  <c r="D259" i="2"/>
  <c r="D260" i="2"/>
  <c r="F260" i="2" s="1"/>
  <c r="D261" i="2"/>
  <c r="D262" i="2"/>
  <c r="D263" i="2"/>
  <c r="D264" i="2"/>
  <c r="F264" i="2" s="1"/>
  <c r="D265" i="2"/>
  <c r="D266" i="2"/>
  <c r="D267" i="2"/>
  <c r="D268" i="2"/>
  <c r="F268" i="2" s="1"/>
  <c r="D269" i="2"/>
  <c r="D270" i="2"/>
  <c r="D271" i="2"/>
  <c r="D272" i="2"/>
  <c r="F272" i="2" s="1"/>
  <c r="D273" i="2"/>
  <c r="D274" i="2"/>
  <c r="D275" i="2"/>
  <c r="D276" i="2"/>
  <c r="F276" i="2" s="1"/>
  <c r="D277" i="2"/>
  <c r="D278" i="2"/>
  <c r="D279" i="2"/>
  <c r="D280" i="2"/>
  <c r="F280" i="2" s="1"/>
  <c r="D281" i="2"/>
  <c r="D282" i="2"/>
  <c r="D283" i="2"/>
  <c r="D284" i="2"/>
  <c r="F284" i="2" s="1"/>
  <c r="D285" i="2"/>
  <c r="D286" i="2"/>
  <c r="D287" i="2"/>
  <c r="D288" i="2"/>
  <c r="F288" i="2" s="1"/>
  <c r="D289" i="2"/>
  <c r="D290" i="2"/>
  <c r="D291" i="2"/>
  <c r="D292" i="2"/>
  <c r="F292" i="2" s="1"/>
  <c r="D293" i="2"/>
  <c r="D294" i="2"/>
  <c r="D295" i="2"/>
  <c r="D296" i="2"/>
  <c r="F296" i="2" s="1"/>
  <c r="D297" i="2"/>
  <c r="D298" i="2"/>
  <c r="D299" i="2"/>
  <c r="D300" i="2"/>
  <c r="F300" i="2" s="1"/>
  <c r="D301" i="2"/>
  <c r="D302" i="2"/>
  <c r="D303" i="2"/>
  <c r="D304" i="2"/>
  <c r="F304" i="2" s="1"/>
  <c r="D305" i="2"/>
  <c r="D306" i="2"/>
  <c r="D307" i="2"/>
  <c r="D308" i="2"/>
  <c r="F308" i="2" s="1"/>
  <c r="D309" i="2"/>
  <c r="D310" i="2"/>
  <c r="D311" i="2"/>
  <c r="D312" i="2"/>
  <c r="F312" i="2" s="1"/>
  <c r="D313" i="2"/>
  <c r="D314" i="2"/>
  <c r="D315" i="2"/>
  <c r="D316" i="2"/>
  <c r="F316" i="2" s="1"/>
  <c r="D317" i="2"/>
  <c r="D318" i="2"/>
  <c r="D319" i="2"/>
  <c r="D320" i="2"/>
  <c r="F320" i="2" s="1"/>
  <c r="D321" i="2"/>
  <c r="D322" i="2"/>
  <c r="D323" i="2"/>
  <c r="D324" i="2"/>
  <c r="F324" i="2" s="1"/>
  <c r="D325" i="2"/>
  <c r="D326" i="2"/>
  <c r="D327" i="2"/>
  <c r="D328" i="2"/>
  <c r="F328" i="2" s="1"/>
  <c r="D329" i="2"/>
  <c r="D330" i="2"/>
  <c r="D331" i="2"/>
  <c r="D332" i="2"/>
  <c r="F332" i="2" s="1"/>
  <c r="D333" i="2"/>
  <c r="D334" i="2"/>
  <c r="D335" i="2"/>
  <c r="D336" i="2"/>
  <c r="F336" i="2" s="1"/>
  <c r="D337" i="2"/>
  <c r="D338" i="2"/>
  <c r="D339" i="2"/>
  <c r="D340" i="2"/>
  <c r="F340" i="2" s="1"/>
  <c r="D341" i="2"/>
  <c r="D342" i="2"/>
  <c r="D343" i="2"/>
  <c r="D344" i="2"/>
  <c r="F344" i="2" s="1"/>
  <c r="D345" i="2"/>
  <c r="D346" i="2"/>
  <c r="D347" i="2"/>
  <c r="D348" i="2"/>
  <c r="F348" i="2" s="1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8" i="2"/>
  <c r="F8" i="2" s="1"/>
  <c r="F9" i="2"/>
  <c r="F10" i="2"/>
  <c r="F11" i="2"/>
  <c r="F13" i="2"/>
  <c r="F14" i="2"/>
  <c r="F15" i="2"/>
  <c r="F17" i="2"/>
  <c r="F18" i="2"/>
  <c r="F19" i="2"/>
  <c r="F21" i="2"/>
  <c r="F22" i="2"/>
  <c r="F23" i="2"/>
  <c r="F25" i="2"/>
  <c r="F26" i="2"/>
  <c r="F27" i="2"/>
  <c r="F29" i="2"/>
  <c r="F30" i="2"/>
  <c r="F31" i="2"/>
  <c r="F33" i="2"/>
  <c r="F34" i="2"/>
  <c r="F35" i="2"/>
  <c r="F37" i="2"/>
  <c r="F38" i="2"/>
  <c r="F39" i="2"/>
  <c r="F41" i="2"/>
  <c r="F42" i="2"/>
  <c r="F43" i="2"/>
  <c r="F45" i="2"/>
  <c r="F46" i="2"/>
  <c r="F47" i="2"/>
  <c r="F49" i="2"/>
  <c r="F50" i="2"/>
  <c r="F51" i="2"/>
  <c r="F53" i="2"/>
  <c r="F54" i="2"/>
  <c r="F55" i="2"/>
  <c r="F57" i="2"/>
  <c r="F58" i="2"/>
  <c r="F59" i="2"/>
  <c r="F61" i="2"/>
  <c r="F62" i="2"/>
  <c r="F63" i="2"/>
  <c r="F65" i="2"/>
  <c r="F66" i="2"/>
  <c r="F67" i="2"/>
  <c r="F69" i="2"/>
  <c r="F70" i="2"/>
  <c r="F71" i="2"/>
  <c r="F73" i="2"/>
  <c r="F74" i="2"/>
  <c r="F75" i="2"/>
  <c r="F77" i="2"/>
  <c r="F78" i="2"/>
  <c r="F79" i="2"/>
  <c r="F81" i="2"/>
  <c r="F82" i="2"/>
  <c r="F83" i="2"/>
  <c r="F85" i="2"/>
  <c r="F86" i="2"/>
  <c r="F87" i="2"/>
  <c r="F89" i="2"/>
  <c r="F90" i="2"/>
  <c r="F91" i="2"/>
  <c r="F93" i="2"/>
  <c r="F94" i="2"/>
  <c r="F95" i="2"/>
  <c r="F97" i="2"/>
  <c r="F98" i="2"/>
  <c r="F99" i="2"/>
  <c r="F101" i="2"/>
  <c r="F102" i="2"/>
  <c r="F103" i="2"/>
  <c r="F105" i="2"/>
  <c r="F106" i="2"/>
  <c r="F107" i="2"/>
  <c r="F109" i="2"/>
  <c r="F110" i="2"/>
  <c r="F111" i="2"/>
  <c r="F113" i="2"/>
  <c r="F114" i="2"/>
  <c r="F115" i="2"/>
  <c r="F117" i="2"/>
  <c r="F118" i="2"/>
  <c r="F119" i="2"/>
  <c r="F121" i="2"/>
  <c r="F122" i="2"/>
  <c r="F123" i="2"/>
  <c r="F125" i="2"/>
  <c r="F126" i="2"/>
  <c r="F127" i="2"/>
  <c r="F129" i="2"/>
  <c r="F130" i="2"/>
  <c r="F131" i="2"/>
  <c r="F133" i="2"/>
  <c r="F134" i="2"/>
  <c r="F135" i="2"/>
  <c r="F137" i="2"/>
  <c r="F138" i="2"/>
  <c r="F139" i="2"/>
  <c r="F141" i="2"/>
  <c r="F142" i="2"/>
  <c r="F143" i="2"/>
  <c r="F145" i="2"/>
  <c r="F146" i="2"/>
  <c r="F147" i="2"/>
  <c r="F149" i="2"/>
  <c r="F150" i="2"/>
  <c r="F151" i="2"/>
  <c r="F153" i="2"/>
  <c r="F154" i="2"/>
  <c r="F155" i="2"/>
  <c r="F157" i="2"/>
  <c r="F158" i="2"/>
  <c r="F159" i="2"/>
  <c r="F161" i="2"/>
  <c r="F162" i="2"/>
  <c r="F163" i="2"/>
  <c r="F165" i="2"/>
  <c r="F166" i="2"/>
  <c r="F167" i="2"/>
  <c r="F169" i="2"/>
  <c r="F170" i="2"/>
  <c r="F171" i="2"/>
  <c r="F173" i="2"/>
  <c r="F174" i="2"/>
  <c r="F175" i="2"/>
  <c r="F177" i="2"/>
  <c r="F178" i="2"/>
  <c r="F179" i="2"/>
  <c r="F181" i="2"/>
  <c r="F182" i="2"/>
  <c r="F183" i="2"/>
  <c r="F185" i="2"/>
  <c r="F186" i="2"/>
  <c r="F187" i="2"/>
  <c r="F189" i="2"/>
  <c r="F190" i="2"/>
  <c r="F191" i="2"/>
  <c r="F193" i="2"/>
  <c r="F194" i="2"/>
  <c r="F195" i="2"/>
  <c r="F197" i="2"/>
  <c r="F198" i="2"/>
  <c r="F199" i="2"/>
  <c r="F201" i="2"/>
  <c r="F202" i="2"/>
  <c r="F203" i="2"/>
  <c r="F205" i="2"/>
  <c r="F206" i="2"/>
  <c r="F207" i="2"/>
  <c r="F209" i="2"/>
  <c r="F210" i="2"/>
  <c r="F211" i="2"/>
  <c r="F213" i="2"/>
  <c r="F214" i="2"/>
  <c r="F215" i="2"/>
  <c r="F217" i="2"/>
  <c r="F218" i="2"/>
  <c r="F219" i="2"/>
  <c r="F221" i="2"/>
  <c r="F222" i="2"/>
  <c r="F223" i="2"/>
  <c r="F225" i="2"/>
  <c r="F226" i="2"/>
  <c r="F227" i="2"/>
  <c r="F229" i="2"/>
  <c r="F230" i="2"/>
  <c r="F231" i="2"/>
  <c r="F233" i="2"/>
  <c r="F234" i="2"/>
  <c r="F235" i="2"/>
  <c r="F237" i="2"/>
  <c r="F238" i="2"/>
  <c r="F239" i="2"/>
  <c r="F241" i="2"/>
  <c r="F242" i="2"/>
  <c r="F243" i="2"/>
  <c r="F245" i="2"/>
  <c r="F246" i="2"/>
  <c r="F247" i="2"/>
  <c r="F249" i="2"/>
  <c r="F250" i="2"/>
  <c r="F251" i="2"/>
  <c r="F253" i="2"/>
  <c r="F254" i="2"/>
  <c r="F255" i="2"/>
  <c r="F257" i="2"/>
  <c r="F258" i="2"/>
  <c r="F259" i="2"/>
  <c r="F261" i="2"/>
  <c r="F262" i="2"/>
  <c r="F263" i="2"/>
  <c r="F265" i="2"/>
  <c r="F266" i="2"/>
  <c r="F267" i="2"/>
  <c r="F269" i="2"/>
  <c r="F270" i="2"/>
  <c r="F271" i="2"/>
  <c r="F273" i="2"/>
  <c r="F274" i="2"/>
  <c r="F275" i="2"/>
  <c r="F277" i="2"/>
  <c r="F278" i="2"/>
  <c r="F279" i="2"/>
  <c r="F281" i="2"/>
  <c r="F282" i="2"/>
  <c r="F283" i="2"/>
  <c r="F285" i="2"/>
  <c r="F286" i="2"/>
  <c r="F287" i="2"/>
  <c r="F289" i="2"/>
  <c r="F290" i="2"/>
  <c r="F291" i="2"/>
  <c r="F293" i="2"/>
  <c r="F294" i="2"/>
  <c r="F295" i="2"/>
  <c r="F297" i="2"/>
  <c r="F298" i="2"/>
  <c r="F299" i="2"/>
  <c r="F301" i="2"/>
  <c r="F302" i="2"/>
  <c r="F303" i="2"/>
  <c r="F305" i="2"/>
  <c r="F306" i="2"/>
  <c r="F307" i="2"/>
  <c r="F309" i="2"/>
  <c r="F310" i="2"/>
  <c r="F311" i="2"/>
  <c r="F313" i="2"/>
  <c r="F314" i="2"/>
  <c r="F315" i="2"/>
  <c r="F317" i="2"/>
  <c r="F318" i="2"/>
  <c r="F319" i="2"/>
  <c r="F321" i="2"/>
  <c r="F322" i="2"/>
  <c r="F323" i="2"/>
  <c r="F325" i="2"/>
  <c r="F326" i="2"/>
  <c r="F327" i="2"/>
  <c r="F329" i="2"/>
  <c r="F330" i="2"/>
  <c r="F331" i="2"/>
  <c r="F333" i="2"/>
  <c r="F334" i="2"/>
  <c r="F335" i="2"/>
  <c r="F337" i="2"/>
  <c r="F338" i="2"/>
  <c r="F339" i="2"/>
  <c r="F341" i="2"/>
  <c r="F342" i="2"/>
  <c r="F343" i="2"/>
  <c r="F345" i="2"/>
  <c r="F346" i="2"/>
  <c r="F347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I4" i="4"/>
  <c r="B6" i="4"/>
  <c r="C5" i="4"/>
  <c r="B5" i="4"/>
  <c r="F4" i="4"/>
  <c r="F5" i="4"/>
  <c r="F6" i="4"/>
  <c r="C16" i="3" a="1"/>
  <c r="C16" i="3" s="1"/>
  <c r="J10" i="3"/>
  <c r="B208" i="2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I15" i="2"/>
  <c r="C6" i="3" a="1"/>
  <c r="C10" i="3" a="1"/>
  <c r="C14" i="3" a="1"/>
  <c r="C18" i="3" a="1"/>
  <c r="C22" i="3" a="1"/>
  <c r="C26" i="3" a="1"/>
  <c r="C30" i="3" a="1"/>
  <c r="C34" i="3" a="1"/>
  <c r="C38" i="3" a="1"/>
  <c r="C42" i="3" a="1"/>
  <c r="C37" i="3" a="1"/>
  <c r="C4" i="3" a="1"/>
  <c r="C8" i="3" a="1"/>
  <c r="C20" i="3" a="1"/>
  <c r="C24" i="3" a="1"/>
  <c r="C32" i="3" a="1"/>
  <c r="C40" i="3" a="1"/>
  <c r="C9" i="3" a="1"/>
  <c r="C17" i="3" a="1"/>
  <c r="C25" i="3" a="1"/>
  <c r="C33" i="3" a="1"/>
  <c r="C7" i="3" a="1"/>
  <c r="C11" i="3" a="1"/>
  <c r="C15" i="3" a="1"/>
  <c r="C19" i="3" a="1"/>
  <c r="C23" i="3" a="1"/>
  <c r="C27" i="3" a="1"/>
  <c r="C31" i="3" a="1"/>
  <c r="C35" i="3" a="1"/>
  <c r="C39" i="3" a="1"/>
  <c r="C43" i="3" a="1"/>
  <c r="C12" i="3" a="1"/>
  <c r="C28" i="3" a="1"/>
  <c r="C36" i="3" a="1"/>
  <c r="C5" i="3" a="1"/>
  <c r="C13" i="3" a="1"/>
  <c r="C21" i="3" a="1"/>
  <c r="C29" i="3" a="1"/>
  <c r="C41" i="3" a="1"/>
  <c r="C3" i="3" a="1"/>
  <c r="D5" i="3" a="1"/>
  <c r="D9" i="3" a="1"/>
  <c r="D25" i="3" a="1"/>
  <c r="D40" i="3" a="1"/>
  <c r="D18" i="3" a="1"/>
  <c r="E8" i="2" a="1"/>
  <c r="D13" i="3" a="1"/>
  <c r="D22" i="3" a="1"/>
  <c r="D37" i="3" a="1"/>
  <c r="D7" i="3" a="1"/>
  <c r="D21" i="3" a="1"/>
  <c r="D29" i="3" a="1"/>
  <c r="D33" i="3" a="1"/>
  <c r="D4" i="3" a="1"/>
  <c r="D38" i="3" a="1"/>
  <c r="D12" i="3" a="1"/>
  <c r="D16" i="3" a="1"/>
  <c r="D20" i="3" a="1"/>
  <c r="D15" i="3" a="1"/>
  <c r="D19" i="3" a="1"/>
  <c r="D23" i="3" a="1"/>
  <c r="D30" i="3" a="1"/>
  <c r="D31" i="3" a="1"/>
  <c r="D27" i="3" a="1"/>
  <c r="D26" i="3" a="1"/>
  <c r="D10" i="3" a="1"/>
  <c r="D42" i="3" a="1"/>
  <c r="D24" i="3" a="1"/>
  <c r="D28" i="3" a="1"/>
  <c r="D32" i="3" a="1"/>
  <c r="D36" i="3" a="1"/>
  <c r="D14" i="3" a="1"/>
  <c r="D39" i="3" a="1"/>
  <c r="D3" i="3" a="1"/>
  <c r="D8" i="3" a="1"/>
  <c r="D6" i="3" a="1"/>
  <c r="D17" i="3" a="1"/>
  <c r="D35" i="3" a="1"/>
  <c r="D11" i="3" a="1"/>
  <c r="D41" i="3" a="1"/>
  <c r="D34" i="3" a="1"/>
  <c r="D43" i="3" a="1"/>
  <c r="B7" i="4" l="1"/>
  <c r="C6" i="4"/>
  <c r="C41" i="3"/>
  <c r="C29" i="3"/>
  <c r="C21" i="3"/>
  <c r="C13" i="3"/>
  <c r="C5" i="3"/>
  <c r="C36" i="3"/>
  <c r="C28" i="3"/>
  <c r="C12" i="3"/>
  <c r="C43" i="3"/>
  <c r="C39" i="3"/>
  <c r="C35" i="3"/>
  <c r="C31" i="3"/>
  <c r="C27" i="3"/>
  <c r="C23" i="3"/>
  <c r="C19" i="3"/>
  <c r="C15" i="3"/>
  <c r="F16" i="3" s="1"/>
  <c r="C11" i="3"/>
  <c r="C7" i="3"/>
  <c r="C33" i="3"/>
  <c r="C25" i="3"/>
  <c r="C17" i="3"/>
  <c r="F17" i="3" s="1"/>
  <c r="C9" i="3"/>
  <c r="C40" i="3"/>
  <c r="C32" i="3"/>
  <c r="C24" i="3"/>
  <c r="C20" i="3"/>
  <c r="C8" i="3"/>
  <c r="C4" i="3"/>
  <c r="C37" i="3"/>
  <c r="C42" i="3"/>
  <c r="C38" i="3"/>
  <c r="C34" i="3"/>
  <c r="C30" i="3"/>
  <c r="C26" i="3"/>
  <c r="C22" i="3"/>
  <c r="C18" i="3"/>
  <c r="C14" i="3"/>
  <c r="C10" i="3"/>
  <c r="F10" i="3" s="1"/>
  <c r="C6" i="3"/>
  <c r="C3" i="3"/>
  <c r="D7" i="3"/>
  <c r="D35" i="3"/>
  <c r="D27" i="3"/>
  <c r="D23" i="3"/>
  <c r="G23" i="3" s="1"/>
  <c r="D11" i="3"/>
  <c r="D42" i="3"/>
  <c r="G42" i="3" s="1"/>
  <c r="D38" i="3"/>
  <c r="D34" i="3"/>
  <c r="G34" i="3" s="1"/>
  <c r="D30" i="3"/>
  <c r="D26" i="3"/>
  <c r="G26" i="3" s="1"/>
  <c r="D22" i="3"/>
  <c r="D18" i="3"/>
  <c r="G18" i="3" s="1"/>
  <c r="D14" i="3"/>
  <c r="D10" i="3"/>
  <c r="G10" i="3" s="1"/>
  <c r="D6" i="3"/>
  <c r="D39" i="3"/>
  <c r="G39" i="3" s="1"/>
  <c r="D15" i="3"/>
  <c r="G15" i="3" s="1"/>
  <c r="D43" i="3"/>
  <c r="G43" i="3" s="1"/>
  <c r="D31" i="3"/>
  <c r="D19" i="3"/>
  <c r="G19" i="3" s="1"/>
  <c r="D41" i="3"/>
  <c r="D37" i="3"/>
  <c r="D33" i="3"/>
  <c r="D29" i="3"/>
  <c r="D25" i="3"/>
  <c r="D21" i="3"/>
  <c r="D17" i="3"/>
  <c r="D13" i="3"/>
  <c r="D9" i="3"/>
  <c r="D5" i="3"/>
  <c r="D40" i="3"/>
  <c r="D36" i="3"/>
  <c r="D32" i="3"/>
  <c r="D28" i="3"/>
  <c r="G28" i="3" s="1"/>
  <c r="D24" i="3"/>
  <c r="D20" i="3"/>
  <c r="G20" i="3" s="1"/>
  <c r="D16" i="3"/>
  <c r="G16" i="3" s="1"/>
  <c r="D12" i="3"/>
  <c r="G12" i="3" s="1"/>
  <c r="D8" i="3"/>
  <c r="D4" i="3"/>
  <c r="D3" i="3"/>
  <c r="E8" i="2"/>
  <c r="C11" i="4"/>
  <c r="C17" i="4"/>
  <c r="C21" i="4"/>
  <c r="D17" i="4"/>
  <c r="C18" i="4"/>
  <c r="C22" i="4"/>
  <c r="D20" i="4"/>
  <c r="C23" i="4"/>
  <c r="C12" i="4"/>
  <c r="C13" i="4"/>
  <c r="C16" i="4"/>
  <c r="C20" i="4"/>
  <c r="D16" i="4"/>
  <c r="C19" i="4"/>
  <c r="D21" i="4"/>
  <c r="G4" i="3" l="1"/>
  <c r="G36" i="3"/>
  <c r="G13" i="3"/>
  <c r="G29" i="3"/>
  <c r="E3" i="3"/>
  <c r="G8" i="3"/>
  <c r="G17" i="3"/>
  <c r="G33" i="3"/>
  <c r="G31" i="3"/>
  <c r="A26" i="4"/>
  <c r="A25" i="4"/>
  <c r="D23" i="4"/>
  <c r="D22" i="4"/>
  <c r="D19" i="4"/>
  <c r="D18" i="4"/>
  <c r="C7" i="4"/>
  <c r="F42" i="3"/>
  <c r="F18" i="3"/>
  <c r="F6" i="3"/>
  <c r="F34" i="3"/>
  <c r="F20" i="3"/>
  <c r="F9" i="3"/>
  <c r="F38" i="3"/>
  <c r="F28" i="3"/>
  <c r="F7" i="3"/>
  <c r="F39" i="3"/>
  <c r="F36" i="3"/>
  <c r="F29" i="3"/>
  <c r="F31" i="3"/>
  <c r="F12" i="3"/>
  <c r="G5" i="3"/>
  <c r="G37" i="3"/>
  <c r="G35" i="3"/>
  <c r="G21" i="3"/>
  <c r="F26" i="3"/>
  <c r="E23" i="3"/>
  <c r="F23" i="3"/>
  <c r="G32" i="3"/>
  <c r="G9" i="3"/>
  <c r="G25" i="3"/>
  <c r="G41" i="3"/>
  <c r="G14" i="3"/>
  <c r="G30" i="3"/>
  <c r="G11" i="3"/>
  <c r="G7" i="3"/>
  <c r="F14" i="3"/>
  <c r="F30" i="3"/>
  <c r="E37" i="3"/>
  <c r="F37" i="3"/>
  <c r="E24" i="3"/>
  <c r="F24" i="3"/>
  <c r="E11" i="3"/>
  <c r="F11" i="3"/>
  <c r="F27" i="3"/>
  <c r="E43" i="3"/>
  <c r="F43" i="3"/>
  <c r="F5" i="3"/>
  <c r="E41" i="3"/>
  <c r="F41" i="3"/>
  <c r="F4" i="3"/>
  <c r="E32" i="3"/>
  <c r="F32" i="3"/>
  <c r="E25" i="3"/>
  <c r="F25" i="3"/>
  <c r="E15" i="3"/>
  <c r="F15" i="3"/>
  <c r="E13" i="3"/>
  <c r="F13" i="3"/>
  <c r="G24" i="3"/>
  <c r="G40" i="3"/>
  <c r="G6" i="3"/>
  <c r="G22" i="3"/>
  <c r="G38" i="3"/>
  <c r="G27" i="3"/>
  <c r="E22" i="3"/>
  <c r="F22" i="3"/>
  <c r="F8" i="3"/>
  <c r="F40" i="3"/>
  <c r="F33" i="3"/>
  <c r="F19" i="3"/>
  <c r="F35" i="3"/>
  <c r="F21" i="3"/>
  <c r="E12" i="3"/>
  <c r="E6" i="3"/>
  <c r="E38" i="3"/>
  <c r="E10" i="3"/>
  <c r="E42" i="3"/>
  <c r="E40" i="3"/>
  <c r="E19" i="3"/>
  <c r="E28" i="3"/>
  <c r="E14" i="3"/>
  <c r="E9" i="3"/>
  <c r="E36" i="3"/>
  <c r="E18" i="3"/>
  <c r="E4" i="3"/>
  <c r="E17" i="3"/>
  <c r="E27" i="3"/>
  <c r="E5" i="3"/>
  <c r="E34" i="3"/>
  <c r="E8" i="3"/>
  <c r="E31" i="3"/>
  <c r="E26" i="3"/>
  <c r="E16" i="3"/>
  <c r="E33" i="3"/>
  <c r="E35" i="3"/>
  <c r="E21" i="3"/>
  <c r="E30" i="3"/>
  <c r="E20" i="3"/>
  <c r="E7" i="3"/>
  <c r="E39" i="3"/>
  <c r="E2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tc={F673EEE2-AA28-204C-8A53-91E19F4660CC}</author>
  </authors>
  <commentList>
    <comment ref="E17" authorId="0" shapeId="0" xr:uid="{F673EEE2-AA28-204C-8A53-91E19F4660C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=BlackScholesCall(Start_price;Strike;Volatility;Interest_rate;Dividend;(Maturity-Start_date)/365)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<sst xmlns="http://schemas.openxmlformats.org/spreadsheetml/2006/main" count="94" uniqueCount="70">
  <si>
    <t>Market</t>
  </si>
  <si>
    <t>Start date</t>
  </si>
  <si>
    <t>Start price</t>
  </si>
  <si>
    <t>Interest rate</t>
  </si>
  <si>
    <t>Volatility</t>
  </si>
  <si>
    <t>Dividend</t>
  </si>
  <si>
    <t>Div ex-date</t>
  </si>
  <si>
    <t>Maturity</t>
  </si>
  <si>
    <t>Trade</t>
  </si>
  <si>
    <t>Type</t>
  </si>
  <si>
    <t>Exercise</t>
  </si>
  <si>
    <t>Strike</t>
  </si>
  <si>
    <t>Model</t>
  </si>
  <si>
    <t>Results</t>
  </si>
  <si>
    <t>Error upper bound</t>
  </si>
  <si>
    <t>Run time (in s)</t>
  </si>
  <si>
    <t>INPUT</t>
  </si>
  <si>
    <t>Call</t>
  </si>
  <si>
    <t>Nb steps</t>
  </si>
  <si>
    <t>Black-Scholes price</t>
  </si>
  <si>
    <t>Pruning</t>
  </si>
  <si>
    <t>True</t>
  </si>
  <si>
    <t>Steps</t>
  </si>
  <si>
    <t>Trinomial Price</t>
  </si>
  <si>
    <t>Black-Scholes Price</t>
  </si>
  <si>
    <t>Stock price</t>
  </si>
  <si>
    <t>Maturity date</t>
  </si>
  <si>
    <t>Pricing date</t>
  </si>
  <si>
    <t>Int rate</t>
  </si>
  <si>
    <t>European</t>
  </si>
  <si>
    <t>Vol</t>
  </si>
  <si>
    <t>Interval</t>
  </si>
  <si>
    <t>(Tree - BS) x NbSteps</t>
  </si>
  <si>
    <t>Tree - BS</t>
  </si>
  <si>
    <t>Pente Trino</t>
  </si>
  <si>
    <t>Pente BS</t>
  </si>
  <si>
    <t>OUTPUT</t>
  </si>
  <si>
    <t>Trinomial VBA</t>
  </si>
  <si>
    <t>Trinomial PY</t>
  </si>
  <si>
    <t>Put</t>
  </si>
  <si>
    <t>Vanna:</t>
  </si>
  <si>
    <t>Vomma:</t>
  </si>
  <si>
    <t>Theta - funding:</t>
  </si>
  <si>
    <t>Theta:</t>
  </si>
  <si>
    <t>Vega:</t>
  </si>
  <si>
    <t>Gamma:</t>
  </si>
  <si>
    <t>Delta:</t>
  </si>
  <si>
    <t>Option price:</t>
  </si>
  <si>
    <r>
      <t xml:space="preserve">           d</t>
    </r>
    <r>
      <rPr>
        <vertAlign val="subscript"/>
        <sz val="10"/>
        <color theme="1"/>
        <rFont val="Arial"/>
        <family val="2"/>
      </rPr>
      <t>2</t>
    </r>
    <r>
      <rPr>
        <sz val="11"/>
        <color theme="1"/>
        <rFont val="Calibri"/>
        <family val="2"/>
        <scheme val="minor"/>
      </rPr>
      <t>:</t>
    </r>
  </si>
  <si>
    <r>
      <t>d</t>
    </r>
    <r>
      <rPr>
        <vertAlign val="subscript"/>
        <sz val="10"/>
        <color theme="1"/>
        <rFont val="Arial"/>
        <family val="2"/>
      </rPr>
      <t>1</t>
    </r>
    <r>
      <rPr>
        <sz val="11"/>
        <color theme="1"/>
        <rFont val="Calibri"/>
        <family val="2"/>
        <scheme val="minor"/>
      </rPr>
      <t>:</t>
    </r>
  </si>
  <si>
    <t>F:</t>
  </si>
  <si>
    <t>http://en.wikipedia.org/wiki/Black%E2%80%93Scholes_model</t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</si>
  <si>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1"/>
        <color theme="1"/>
        <rFont val="Calibri"/>
        <family val="2"/>
        <scheme val="minor"/>
      </rPr>
      <t/>
    </r>
  </si>
  <si>
    <t>Dividend yield q:</t>
  </si>
  <si>
    <t>years</t>
  </si>
  <si>
    <t>Time T-t:</t>
  </si>
  <si>
    <t>Interest rate r:</t>
  </si>
  <si>
    <t>Maturity:</t>
  </si>
  <si>
    <t>Nb bus. Days:</t>
  </si>
  <si>
    <r>
      <t>year</t>
    </r>
    <r>
      <rPr>
        <vertAlign val="superscript"/>
        <sz val="10"/>
        <color theme="1"/>
        <rFont val="Arial"/>
        <family val="2"/>
      </rPr>
      <t>-1/2</t>
    </r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</si>
  <si>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1"/>
        <color theme="1"/>
        <rFont val="Calibri"/>
        <family val="2"/>
        <scheme val="minor"/>
      </rPr>
      <t>:</t>
    </r>
  </si>
  <si>
    <t>EUR</t>
  </si>
  <si>
    <t>Strike K:</t>
  </si>
  <si>
    <t>Pricing date:</t>
  </si>
  <si>
    <t>Stock price S:</t>
  </si>
  <si>
    <t>Type:</t>
  </si>
  <si>
    <t>Pricer</t>
  </si>
  <si>
    <t>Option</t>
  </si>
  <si>
    <t>Black &amp; Scholes premium and greeks</t>
  </si>
  <si>
    <t>(Tree - BS)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</si>
</sst>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_€_-;\-* #,##0.00\ _€_-;_-* &quot;-&quot;??\ _€_-;_-@_-"/>
    <numFmt numFmtId="165" formatCode="0.00000"/>
    <numFmt numFmtId="166" formatCode="0.000000000"/>
    <numFmt numFmtId="167" formatCode="0.000000"/>
    <numFmt numFmtId="168" formatCode="0.0000000"/>
    <numFmt numFmtId="169" formatCode="0.0000"/>
    <numFmt numFmtId="170" formatCode="0.0000000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0"/>
      <color theme="0"/>
      <name val="Avenir Next LT Pro"/>
      <family val="2"/>
    </font>
    <font>
      <b/>
      <sz val="11"/>
      <color rgb="FF993300"/>
      <name val="Calibri"/>
      <family val="2"/>
    </font>
    <font>
      <b/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sz val="10"/>
      <color rgb="FF0000CC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vertAlign val="subscript"/>
      <sz val="10"/>
      <color theme="1"/>
      <name val="Arial"/>
      <family val="2"/>
    </font>
    <font>
      <u/>
      <sz val="10"/>
      <color theme="10"/>
      <name val="Arial"/>
      <family val="2"/>
    </font>
    <font>
      <vertAlign val="superscript"/>
      <sz val="10"/>
      <color theme="1"/>
      <name val="Arial"/>
      <family val="2"/>
    </font>
    <font>
      <sz val="9"/>
      <color theme="1"/>
      <name val="Arial"/>
      <family val="2"/>
    </font>
    <font>
      <sz val="9"/>
      <color theme="1" tint="0.249977111117893"/>
      <name val="Arial"/>
      <family val="2"/>
    </font>
    <font>
      <sz val="10"/>
      <color theme="1"/>
      <name val="Calibri"/>
      <family val="2"/>
    </font>
    <font>
      <b/>
      <sz val="1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6" tint="0.79998168889431442"/>
      </bottom>
      <diagonal/>
    </border>
    <border>
      <left/>
      <right style="thin">
        <color indexed="64"/>
      </right>
      <top style="thin">
        <color theme="6" tint="0.79998168889431442"/>
      </top>
      <bottom style="thin">
        <color theme="6" tint="0.79998168889431442"/>
      </bottom>
      <diagonal/>
    </border>
    <border>
      <left/>
      <right style="thin">
        <color indexed="64"/>
      </right>
      <top style="thin">
        <color theme="6" tint="0.79998168889431442"/>
      </top>
      <bottom style="thin">
        <color indexed="64"/>
      </bottom>
      <diagonal/>
    </border>
    <border>
      <left/>
      <right style="thin">
        <color indexed="64"/>
      </right>
      <top style="thin">
        <color theme="6" tint="0.79998168889431442"/>
      </top>
      <bottom/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12" fillId="0" borderId="15" applyNumberFormat="0" applyFill="0" applyAlignment="0" applyProtection="0"/>
    <xf numFmtId="0" fontId="15" fillId="0" borderId="0"/>
    <xf numFmtId="0" fontId="18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2" fillId="2" borderId="6" xfId="0" applyFont="1" applyFill="1" applyBorder="1" applyAlignment="1">
      <alignment horizontal="right"/>
    </xf>
    <xf numFmtId="0" fontId="2" fillId="2" borderId="0" xfId="0" applyFont="1" applyFill="1" applyAlignment="1">
      <alignment horizontal="right"/>
    </xf>
    <xf numFmtId="0" fontId="2" fillId="2" borderId="7" xfId="0" applyFont="1" applyFill="1" applyBorder="1" applyAlignment="1">
      <alignment horizontal="right"/>
    </xf>
    <xf numFmtId="0" fontId="5" fillId="2" borderId="6" xfId="0" applyFont="1" applyFill="1" applyBorder="1" applyAlignment="1">
      <alignment horizontal="right"/>
    </xf>
    <xf numFmtId="0" fontId="5" fillId="2" borderId="0" xfId="0" applyFont="1" applyFill="1" applyAlignment="1">
      <alignment horizontal="right"/>
    </xf>
    <xf numFmtId="0" fontId="5" fillId="2" borderId="7" xfId="0" applyFont="1" applyFill="1" applyBorder="1" applyAlignment="1">
      <alignment horizontal="right"/>
    </xf>
    <xf numFmtId="0" fontId="0" fillId="0" borderId="12" xfId="0" applyBorder="1"/>
    <xf numFmtId="0" fontId="9" fillId="2" borderId="6" xfId="0" applyFont="1" applyFill="1" applyBorder="1" applyAlignment="1">
      <alignment horizontal="right"/>
    </xf>
    <xf numFmtId="0" fontId="9" fillId="2" borderId="0" xfId="0" applyFont="1" applyFill="1" applyAlignment="1">
      <alignment horizontal="right"/>
    </xf>
    <xf numFmtId="0" fontId="9" fillId="2" borderId="7" xfId="0" applyFont="1" applyFill="1" applyBorder="1" applyAlignment="1">
      <alignment horizontal="right"/>
    </xf>
    <xf numFmtId="14" fontId="0" fillId="0" borderId="11" xfId="0" applyNumberFormat="1" applyBorder="1"/>
    <xf numFmtId="14" fontId="0" fillId="0" borderId="13" xfId="0" applyNumberFormat="1" applyBorder="1"/>
    <xf numFmtId="14" fontId="0" fillId="0" borderId="2" xfId="0" applyNumberFormat="1" applyBorder="1"/>
    <xf numFmtId="10" fontId="0" fillId="0" borderId="12" xfId="1" applyNumberFormat="1" applyFont="1" applyBorder="1"/>
    <xf numFmtId="164" fontId="0" fillId="0" borderId="4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165" fontId="0" fillId="0" borderId="4" xfId="0" applyNumberFormat="1" applyBorder="1"/>
    <xf numFmtId="165" fontId="0" fillId="0" borderId="11" xfId="0" applyNumberFormat="1" applyBorder="1"/>
    <xf numFmtId="2" fontId="0" fillId="0" borderId="13" xfId="0" applyNumberFormat="1" applyBorder="1"/>
    <xf numFmtId="0" fontId="7" fillId="2" borderId="7" xfId="0" applyFont="1" applyFill="1" applyBorder="1" applyAlignment="1">
      <alignment horizontal="right"/>
    </xf>
    <xf numFmtId="0" fontId="7" fillId="2" borderId="0" xfId="0" applyFont="1" applyFill="1" applyAlignment="1">
      <alignment horizontal="right"/>
    </xf>
    <xf numFmtId="164" fontId="0" fillId="0" borderId="4" xfId="0" applyNumberFormat="1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13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15" fontId="0" fillId="0" borderId="4" xfId="0" applyNumberFormat="1" applyBorder="1"/>
    <xf numFmtId="9" fontId="0" fillId="0" borderId="4" xfId="0" applyNumberFormat="1" applyBorder="1"/>
    <xf numFmtId="0" fontId="0" fillId="0" borderId="4" xfId="0" applyBorder="1"/>
    <xf numFmtId="0" fontId="0" fillId="0" borderId="5" xfId="0" applyBorder="1"/>
    <xf numFmtId="0" fontId="0" fillId="0" borderId="16" xfId="0" applyBorder="1"/>
    <xf numFmtId="0" fontId="12" fillId="0" borderId="15" xfId="2"/>
    <xf numFmtId="0" fontId="12" fillId="0" borderId="15" xfId="2" applyAlignment="1">
      <alignment horizontal="center"/>
    </xf>
    <xf numFmtId="0" fontId="15" fillId="4" borderId="0" xfId="3" applyFill="1"/>
    <xf numFmtId="166" fontId="14" fillId="4" borderId="17" xfId="3" applyNumberFormat="1" applyFont="1" applyFill="1" applyBorder="1"/>
    <xf numFmtId="0" fontId="15" fillId="4" borderId="0" xfId="3" applyFill="1" applyAlignment="1">
      <alignment horizontal="right"/>
    </xf>
    <xf numFmtId="166" fontId="15" fillId="4" borderId="0" xfId="3" applyNumberFormat="1" applyFill="1"/>
    <xf numFmtId="0" fontId="16" fillId="4" borderId="0" xfId="3" applyFont="1" applyFill="1" applyAlignment="1">
      <alignment horizontal="center"/>
    </xf>
    <xf numFmtId="167" fontId="14" fillId="4" borderId="17" xfId="3" applyNumberFormat="1" applyFont="1" applyFill="1" applyBorder="1"/>
    <xf numFmtId="0" fontId="14" fillId="4" borderId="0" xfId="3" applyFont="1" applyFill="1"/>
    <xf numFmtId="168" fontId="15" fillId="4" borderId="0" xfId="3" applyNumberFormat="1" applyFill="1"/>
    <xf numFmtId="0" fontId="18" fillId="4" borderId="0" xfId="4" applyFill="1"/>
    <xf numFmtId="9" fontId="15" fillId="0" borderId="17" xfId="3" applyNumberFormat="1" applyBorder="1"/>
    <xf numFmtId="0" fontId="20" fillId="4" borderId="0" xfId="3" applyFont="1" applyFill="1" applyAlignment="1">
      <alignment horizontal="left"/>
    </xf>
    <xf numFmtId="169" fontId="21" fillId="4" borderId="17" xfId="3" applyNumberFormat="1" applyFont="1" applyFill="1" applyBorder="1"/>
    <xf numFmtId="0" fontId="21" fillId="4" borderId="0" xfId="3" applyFont="1" applyFill="1" applyAlignment="1">
      <alignment horizontal="right"/>
    </xf>
    <xf numFmtId="15" fontId="15" fillId="4" borderId="17" xfId="3" applyNumberFormat="1" applyFill="1" applyBorder="1"/>
    <xf numFmtId="15" fontId="15" fillId="0" borderId="17" xfId="3" applyNumberFormat="1" applyBorder="1"/>
    <xf numFmtId="0" fontId="15" fillId="0" borderId="17" xfId="3" applyBorder="1"/>
    <xf numFmtId="2" fontId="15" fillId="4" borderId="17" xfId="3" applyNumberFormat="1" applyFill="1" applyBorder="1"/>
    <xf numFmtId="2" fontId="15" fillId="0" borderId="17" xfId="3" applyNumberFormat="1" applyBorder="1"/>
    <xf numFmtId="0" fontId="15" fillId="0" borderId="17" xfId="3" applyBorder="1" applyAlignment="1">
      <alignment horizontal="center"/>
    </xf>
    <xf numFmtId="170" fontId="15" fillId="4" borderId="0" xfId="3" applyNumberFormat="1" applyFill="1"/>
    <xf numFmtId="0" fontId="0" fillId="4" borderId="0" xfId="0" applyFill="1"/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 textRotation="90"/>
    </xf>
    <xf numFmtId="0" fontId="10" fillId="3" borderId="9" xfId="0" applyFont="1" applyFill="1" applyBorder="1" applyAlignment="1">
      <alignment horizontal="center" vertical="center" textRotation="90"/>
    </xf>
    <xf numFmtId="0" fontId="10" fillId="3" borderId="10" xfId="0" applyFont="1" applyFill="1" applyBorder="1" applyAlignment="1">
      <alignment horizontal="center" vertical="center" textRotation="90"/>
    </xf>
    <xf numFmtId="0" fontId="6" fillId="2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3" fillId="4" borderId="0" xfId="3" applyFont="1" applyFill="1" applyAlignment="1">
      <alignment horizontal="center"/>
    </xf>
  </cellXfs>
  <cellStyles count="5">
    <cellStyle name="Lien hypertexte" xfId="4" builtinId="8"/>
    <cellStyle name="Normal" xfId="0" builtinId="0"/>
    <cellStyle name="Normal 2" xfId="3" xr:uid="{F2D43C40-ACD7-1841-91E6-30E60D3BCA67}"/>
    <cellStyle name="Pourcentage" xfId="1" builtinId="5"/>
    <cellStyle name="Titre 3" xfId="2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/>
              <a:t>(Tree - BS) x NbSteps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1">
                    <a:alpha val="60000"/>
                  </a:schemeClr>
                </a:solidFill>
              </a:ln>
              <a:effectLst/>
            </c:spPr>
          </c:marker>
          <c:xVal>
            <c:numRef>
              <c:f>Steps!$B$8:$B$412</c:f>
              <c:numCache>
                <c:formatCode>General</c:formatCode>
                <c:ptCount val="4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205</c:v>
                </c:pt>
                <c:pt idx="201">
                  <c:v>210</c:v>
                </c:pt>
                <c:pt idx="202">
                  <c:v>215</c:v>
                </c:pt>
                <c:pt idx="203">
                  <c:v>220</c:v>
                </c:pt>
                <c:pt idx="204">
                  <c:v>225</c:v>
                </c:pt>
                <c:pt idx="205">
                  <c:v>230</c:v>
                </c:pt>
                <c:pt idx="206">
                  <c:v>235</c:v>
                </c:pt>
                <c:pt idx="207">
                  <c:v>240</c:v>
                </c:pt>
                <c:pt idx="208">
                  <c:v>245</c:v>
                </c:pt>
                <c:pt idx="209">
                  <c:v>250</c:v>
                </c:pt>
                <c:pt idx="210">
                  <c:v>255</c:v>
                </c:pt>
                <c:pt idx="211">
                  <c:v>260</c:v>
                </c:pt>
                <c:pt idx="212">
                  <c:v>265</c:v>
                </c:pt>
                <c:pt idx="213">
                  <c:v>270</c:v>
                </c:pt>
                <c:pt idx="214">
                  <c:v>275</c:v>
                </c:pt>
                <c:pt idx="215">
                  <c:v>280</c:v>
                </c:pt>
                <c:pt idx="216">
                  <c:v>285</c:v>
                </c:pt>
                <c:pt idx="217">
                  <c:v>290</c:v>
                </c:pt>
                <c:pt idx="218">
                  <c:v>295</c:v>
                </c:pt>
                <c:pt idx="219">
                  <c:v>300</c:v>
                </c:pt>
                <c:pt idx="220">
                  <c:v>305</c:v>
                </c:pt>
                <c:pt idx="221">
                  <c:v>310</c:v>
                </c:pt>
                <c:pt idx="222">
                  <c:v>315</c:v>
                </c:pt>
                <c:pt idx="223">
                  <c:v>320</c:v>
                </c:pt>
                <c:pt idx="224">
                  <c:v>325</c:v>
                </c:pt>
                <c:pt idx="225">
                  <c:v>330</c:v>
                </c:pt>
                <c:pt idx="226">
                  <c:v>335</c:v>
                </c:pt>
                <c:pt idx="227">
                  <c:v>340</c:v>
                </c:pt>
                <c:pt idx="228">
                  <c:v>345</c:v>
                </c:pt>
                <c:pt idx="229">
                  <c:v>350</c:v>
                </c:pt>
                <c:pt idx="230">
                  <c:v>355</c:v>
                </c:pt>
                <c:pt idx="231">
                  <c:v>360</c:v>
                </c:pt>
                <c:pt idx="232">
                  <c:v>365</c:v>
                </c:pt>
                <c:pt idx="233">
                  <c:v>370</c:v>
                </c:pt>
                <c:pt idx="234">
                  <c:v>375</c:v>
                </c:pt>
                <c:pt idx="235">
                  <c:v>380</c:v>
                </c:pt>
                <c:pt idx="236">
                  <c:v>385</c:v>
                </c:pt>
                <c:pt idx="237">
                  <c:v>390</c:v>
                </c:pt>
                <c:pt idx="238">
                  <c:v>395</c:v>
                </c:pt>
                <c:pt idx="239">
                  <c:v>400</c:v>
                </c:pt>
                <c:pt idx="240">
                  <c:v>405</c:v>
                </c:pt>
                <c:pt idx="241">
                  <c:v>410</c:v>
                </c:pt>
                <c:pt idx="242">
                  <c:v>415</c:v>
                </c:pt>
                <c:pt idx="243">
                  <c:v>420</c:v>
                </c:pt>
                <c:pt idx="244">
                  <c:v>425</c:v>
                </c:pt>
                <c:pt idx="245">
                  <c:v>430</c:v>
                </c:pt>
                <c:pt idx="246">
                  <c:v>435</c:v>
                </c:pt>
                <c:pt idx="247">
                  <c:v>440</c:v>
                </c:pt>
                <c:pt idx="248">
                  <c:v>445</c:v>
                </c:pt>
                <c:pt idx="249">
                  <c:v>450</c:v>
                </c:pt>
                <c:pt idx="250">
                  <c:v>455</c:v>
                </c:pt>
                <c:pt idx="251">
                  <c:v>460</c:v>
                </c:pt>
                <c:pt idx="252">
                  <c:v>465</c:v>
                </c:pt>
                <c:pt idx="253">
                  <c:v>470</c:v>
                </c:pt>
                <c:pt idx="254">
                  <c:v>475</c:v>
                </c:pt>
                <c:pt idx="255">
                  <c:v>480</c:v>
                </c:pt>
                <c:pt idx="256">
                  <c:v>485</c:v>
                </c:pt>
                <c:pt idx="257">
                  <c:v>490</c:v>
                </c:pt>
                <c:pt idx="258">
                  <c:v>495</c:v>
                </c:pt>
                <c:pt idx="259">
                  <c:v>500</c:v>
                </c:pt>
                <c:pt idx="260">
                  <c:v>505</c:v>
                </c:pt>
                <c:pt idx="261">
                  <c:v>510</c:v>
                </c:pt>
                <c:pt idx="262">
                  <c:v>515</c:v>
                </c:pt>
                <c:pt idx="263">
                  <c:v>520</c:v>
                </c:pt>
                <c:pt idx="264">
                  <c:v>525</c:v>
                </c:pt>
                <c:pt idx="265">
                  <c:v>530</c:v>
                </c:pt>
                <c:pt idx="266">
                  <c:v>535</c:v>
                </c:pt>
                <c:pt idx="267">
                  <c:v>540</c:v>
                </c:pt>
                <c:pt idx="268">
                  <c:v>545</c:v>
                </c:pt>
                <c:pt idx="269">
                  <c:v>550</c:v>
                </c:pt>
                <c:pt idx="270">
                  <c:v>555</c:v>
                </c:pt>
                <c:pt idx="271">
                  <c:v>560</c:v>
                </c:pt>
                <c:pt idx="272">
                  <c:v>565</c:v>
                </c:pt>
                <c:pt idx="273">
                  <c:v>570</c:v>
                </c:pt>
                <c:pt idx="274">
                  <c:v>575</c:v>
                </c:pt>
                <c:pt idx="275">
                  <c:v>580</c:v>
                </c:pt>
                <c:pt idx="276">
                  <c:v>585</c:v>
                </c:pt>
                <c:pt idx="277">
                  <c:v>590</c:v>
                </c:pt>
                <c:pt idx="278">
                  <c:v>595</c:v>
                </c:pt>
                <c:pt idx="279">
                  <c:v>600</c:v>
                </c:pt>
                <c:pt idx="280">
                  <c:v>605</c:v>
                </c:pt>
                <c:pt idx="281">
                  <c:v>610</c:v>
                </c:pt>
                <c:pt idx="282">
                  <c:v>615</c:v>
                </c:pt>
                <c:pt idx="283">
                  <c:v>620</c:v>
                </c:pt>
                <c:pt idx="284">
                  <c:v>625</c:v>
                </c:pt>
                <c:pt idx="285">
                  <c:v>630</c:v>
                </c:pt>
                <c:pt idx="286">
                  <c:v>635</c:v>
                </c:pt>
                <c:pt idx="287">
                  <c:v>640</c:v>
                </c:pt>
                <c:pt idx="288">
                  <c:v>645</c:v>
                </c:pt>
                <c:pt idx="289">
                  <c:v>650</c:v>
                </c:pt>
                <c:pt idx="290">
                  <c:v>655</c:v>
                </c:pt>
                <c:pt idx="291">
                  <c:v>660</c:v>
                </c:pt>
                <c:pt idx="292">
                  <c:v>665</c:v>
                </c:pt>
                <c:pt idx="293">
                  <c:v>670</c:v>
                </c:pt>
                <c:pt idx="294">
                  <c:v>675</c:v>
                </c:pt>
                <c:pt idx="295">
                  <c:v>680</c:v>
                </c:pt>
                <c:pt idx="296">
                  <c:v>685</c:v>
                </c:pt>
                <c:pt idx="297">
                  <c:v>690</c:v>
                </c:pt>
                <c:pt idx="298">
                  <c:v>695</c:v>
                </c:pt>
                <c:pt idx="299">
                  <c:v>700</c:v>
                </c:pt>
                <c:pt idx="300">
                  <c:v>705</c:v>
                </c:pt>
                <c:pt idx="301">
                  <c:v>710</c:v>
                </c:pt>
                <c:pt idx="302">
                  <c:v>715</c:v>
                </c:pt>
                <c:pt idx="303">
                  <c:v>720</c:v>
                </c:pt>
                <c:pt idx="304">
                  <c:v>725</c:v>
                </c:pt>
                <c:pt idx="305">
                  <c:v>730</c:v>
                </c:pt>
                <c:pt idx="306">
                  <c:v>735</c:v>
                </c:pt>
                <c:pt idx="307">
                  <c:v>740</c:v>
                </c:pt>
                <c:pt idx="308">
                  <c:v>745</c:v>
                </c:pt>
                <c:pt idx="309">
                  <c:v>750</c:v>
                </c:pt>
                <c:pt idx="310">
                  <c:v>755</c:v>
                </c:pt>
                <c:pt idx="311">
                  <c:v>760</c:v>
                </c:pt>
                <c:pt idx="312">
                  <c:v>765</c:v>
                </c:pt>
                <c:pt idx="313">
                  <c:v>770</c:v>
                </c:pt>
                <c:pt idx="314">
                  <c:v>775</c:v>
                </c:pt>
                <c:pt idx="315">
                  <c:v>780</c:v>
                </c:pt>
                <c:pt idx="316">
                  <c:v>785</c:v>
                </c:pt>
                <c:pt idx="317">
                  <c:v>790</c:v>
                </c:pt>
                <c:pt idx="318">
                  <c:v>795</c:v>
                </c:pt>
                <c:pt idx="319">
                  <c:v>800</c:v>
                </c:pt>
                <c:pt idx="320">
                  <c:v>805</c:v>
                </c:pt>
                <c:pt idx="321">
                  <c:v>810</c:v>
                </c:pt>
                <c:pt idx="322">
                  <c:v>815</c:v>
                </c:pt>
                <c:pt idx="323">
                  <c:v>820</c:v>
                </c:pt>
                <c:pt idx="324">
                  <c:v>825</c:v>
                </c:pt>
                <c:pt idx="325">
                  <c:v>830</c:v>
                </c:pt>
                <c:pt idx="326">
                  <c:v>835</c:v>
                </c:pt>
                <c:pt idx="327">
                  <c:v>840</c:v>
                </c:pt>
                <c:pt idx="328">
                  <c:v>845</c:v>
                </c:pt>
                <c:pt idx="329">
                  <c:v>850</c:v>
                </c:pt>
                <c:pt idx="330">
                  <c:v>855</c:v>
                </c:pt>
                <c:pt idx="331">
                  <c:v>860</c:v>
                </c:pt>
                <c:pt idx="332">
                  <c:v>865</c:v>
                </c:pt>
                <c:pt idx="333">
                  <c:v>870</c:v>
                </c:pt>
                <c:pt idx="334">
                  <c:v>875</c:v>
                </c:pt>
                <c:pt idx="335">
                  <c:v>880</c:v>
                </c:pt>
                <c:pt idx="336">
                  <c:v>885</c:v>
                </c:pt>
                <c:pt idx="337">
                  <c:v>890</c:v>
                </c:pt>
                <c:pt idx="338">
                  <c:v>895</c:v>
                </c:pt>
                <c:pt idx="339">
                  <c:v>900</c:v>
                </c:pt>
                <c:pt idx="340">
                  <c:v>905</c:v>
                </c:pt>
                <c:pt idx="341">
                  <c:v>910</c:v>
                </c:pt>
                <c:pt idx="342">
                  <c:v>915</c:v>
                </c:pt>
                <c:pt idx="343">
                  <c:v>920</c:v>
                </c:pt>
                <c:pt idx="344">
                  <c:v>925</c:v>
                </c:pt>
                <c:pt idx="345">
                  <c:v>930</c:v>
                </c:pt>
                <c:pt idx="346">
                  <c:v>935</c:v>
                </c:pt>
                <c:pt idx="347">
                  <c:v>940</c:v>
                </c:pt>
                <c:pt idx="348">
                  <c:v>945</c:v>
                </c:pt>
                <c:pt idx="349">
                  <c:v>950</c:v>
                </c:pt>
                <c:pt idx="350">
                  <c:v>955</c:v>
                </c:pt>
                <c:pt idx="351">
                  <c:v>960</c:v>
                </c:pt>
                <c:pt idx="352">
                  <c:v>965</c:v>
                </c:pt>
                <c:pt idx="353">
                  <c:v>970</c:v>
                </c:pt>
                <c:pt idx="354">
                  <c:v>975</c:v>
                </c:pt>
                <c:pt idx="355">
                  <c:v>980</c:v>
                </c:pt>
                <c:pt idx="356">
                  <c:v>985</c:v>
                </c:pt>
                <c:pt idx="357">
                  <c:v>990</c:v>
                </c:pt>
                <c:pt idx="358">
                  <c:v>995</c:v>
                </c:pt>
                <c:pt idx="359">
                  <c:v>1000</c:v>
                </c:pt>
                <c:pt idx="360">
                  <c:v>1050</c:v>
                </c:pt>
                <c:pt idx="361">
                  <c:v>1100</c:v>
                </c:pt>
                <c:pt idx="362">
                  <c:v>1150</c:v>
                </c:pt>
                <c:pt idx="363">
                  <c:v>1200</c:v>
                </c:pt>
                <c:pt idx="364">
                  <c:v>1250</c:v>
                </c:pt>
                <c:pt idx="365">
                  <c:v>1300</c:v>
                </c:pt>
                <c:pt idx="366">
                  <c:v>1350</c:v>
                </c:pt>
                <c:pt idx="367">
                  <c:v>1400</c:v>
                </c:pt>
                <c:pt idx="368">
                  <c:v>1450</c:v>
                </c:pt>
                <c:pt idx="369">
                  <c:v>1500</c:v>
                </c:pt>
                <c:pt idx="370">
                  <c:v>1550</c:v>
                </c:pt>
                <c:pt idx="371">
                  <c:v>1600</c:v>
                </c:pt>
                <c:pt idx="372">
                  <c:v>1650</c:v>
                </c:pt>
                <c:pt idx="373">
                  <c:v>1700</c:v>
                </c:pt>
                <c:pt idx="374">
                  <c:v>1750</c:v>
                </c:pt>
                <c:pt idx="375">
                  <c:v>1800</c:v>
                </c:pt>
                <c:pt idx="376">
                  <c:v>1850</c:v>
                </c:pt>
                <c:pt idx="377">
                  <c:v>1900</c:v>
                </c:pt>
                <c:pt idx="378">
                  <c:v>1950</c:v>
                </c:pt>
                <c:pt idx="379">
                  <c:v>2000</c:v>
                </c:pt>
                <c:pt idx="380">
                  <c:v>2200</c:v>
                </c:pt>
                <c:pt idx="381">
                  <c:v>2400</c:v>
                </c:pt>
                <c:pt idx="382">
                  <c:v>2600</c:v>
                </c:pt>
                <c:pt idx="383">
                  <c:v>2800</c:v>
                </c:pt>
                <c:pt idx="384">
                  <c:v>3000</c:v>
                </c:pt>
                <c:pt idx="385">
                  <c:v>3200</c:v>
                </c:pt>
                <c:pt idx="386">
                  <c:v>3400</c:v>
                </c:pt>
                <c:pt idx="387">
                  <c:v>3600</c:v>
                </c:pt>
                <c:pt idx="388">
                  <c:v>3800</c:v>
                </c:pt>
                <c:pt idx="389">
                  <c:v>4000</c:v>
                </c:pt>
                <c:pt idx="390">
                  <c:v>4200</c:v>
                </c:pt>
                <c:pt idx="391">
                  <c:v>4400</c:v>
                </c:pt>
                <c:pt idx="392">
                  <c:v>4600</c:v>
                </c:pt>
                <c:pt idx="393">
                  <c:v>4800</c:v>
                </c:pt>
                <c:pt idx="394">
                  <c:v>5000</c:v>
                </c:pt>
                <c:pt idx="395">
                  <c:v>5500</c:v>
                </c:pt>
                <c:pt idx="396">
                  <c:v>6000</c:v>
                </c:pt>
                <c:pt idx="397">
                  <c:v>6500</c:v>
                </c:pt>
                <c:pt idx="398">
                  <c:v>7000</c:v>
                </c:pt>
                <c:pt idx="399">
                  <c:v>7500</c:v>
                </c:pt>
                <c:pt idx="400">
                  <c:v>8000</c:v>
                </c:pt>
                <c:pt idx="401">
                  <c:v>8500</c:v>
                </c:pt>
                <c:pt idx="402">
                  <c:v>9000</c:v>
                </c:pt>
                <c:pt idx="403">
                  <c:v>9500</c:v>
                </c:pt>
                <c:pt idx="404">
                  <c:v>10000</c:v>
                </c:pt>
              </c:numCache>
            </c:numRef>
          </c:xVal>
          <c:yVal>
            <c:numRef>
              <c:f>Steps!$F$8:$F$412</c:f>
              <c:numCache>
                <c:formatCode>General</c:formatCode>
                <c:ptCount val="405"/>
                <c:pt idx="0">
                  <c:v>0.68710457881139386</c:v>
                </c:pt>
                <c:pt idx="1">
                  <c:v>0.14282401299236502</c:v>
                </c:pt>
                <c:pt idx="2">
                  <c:v>0.72663902682306047</c:v>
                </c:pt>
                <c:pt idx="3">
                  <c:v>0.14383557816725112</c:v>
                </c:pt>
                <c:pt idx="4">
                  <c:v>0.28582594783215232</c:v>
                </c:pt>
                <c:pt idx="5">
                  <c:v>0.50654393374395434</c:v>
                </c:pt>
                <c:pt idx="6">
                  <c:v>0.51711236866316734</c:v>
                </c:pt>
                <c:pt idx="7">
                  <c:v>0.33407690053297223</c:v>
                </c:pt>
                <c:pt idx="8">
                  <c:v>2.2170389540713042E-2</c:v>
                </c:pt>
                <c:pt idx="9">
                  <c:v>0.53216120478554618</c:v>
                </c:pt>
                <c:pt idx="10">
                  <c:v>0.84358665579886183</c:v>
                </c:pt>
                <c:pt idx="11">
                  <c:v>0.44179432265607232</c:v>
                </c:pt>
                <c:pt idx="12">
                  <c:v>0.10739836192678309</c:v>
                </c:pt>
                <c:pt idx="13">
                  <c:v>0.15550790887977639</c:v>
                </c:pt>
                <c:pt idx="14">
                  <c:v>0.34529808285874819</c:v>
                </c:pt>
                <c:pt idx="15">
                  <c:v>0.46194950792264322</c:v>
                </c:pt>
                <c:pt idx="16">
                  <c:v>0.50647055393938878</c:v>
                </c:pt>
                <c:pt idx="17">
                  <c:v>0.48051879535735287</c:v>
                </c:pt>
                <c:pt idx="18">
                  <c:v>0.38614540555346299</c:v>
                </c:pt>
                <c:pt idx="19">
                  <c:v>0.22562362038699657</c:v>
                </c:pt>
                <c:pt idx="20">
                  <c:v>1.3336506029419937E-3</c:v>
                </c:pt>
                <c:pt idx="21">
                  <c:v>0.28431421367458443</c:v>
                </c:pt>
                <c:pt idx="22">
                  <c:v>0.62893048682071861</c:v>
                </c:pt>
                <c:pt idx="23">
                  <c:v>0.93600149997002902</c:v>
                </c:pt>
                <c:pt idx="24">
                  <c:v>0.63220331828549026</c:v>
                </c:pt>
                <c:pt idx="25">
                  <c:v>0.36384803815085309</c:v>
                </c:pt>
                <c:pt idx="26">
                  <c:v>0.13156139153225399</c:v>
                </c:pt>
                <c:pt idx="27">
                  <c:v>6.429653662840451E-2</c:v>
                </c:pt>
                <c:pt idx="28">
                  <c:v>0.22357951587906388</c:v>
                </c:pt>
                <c:pt idx="29">
                  <c:v>0.34631310255005543</c:v>
                </c:pt>
                <c:pt idx="30">
                  <c:v>0.4326604056539789</c:v>
                </c:pt>
                <c:pt idx="31">
                  <c:v>0.48289417878254426</c:v>
                </c:pt>
                <c:pt idx="32">
                  <c:v>0.49737403334443675</c:v>
                </c:pt>
                <c:pt idx="33">
                  <c:v>0.47652780872929279</c:v>
                </c:pt>
                <c:pt idx="34">
                  <c:v>0.42083632511809688</c:v>
                </c:pt>
                <c:pt idx="35">
                  <c:v>0.3308208959853669</c:v>
                </c:pt>
                <c:pt idx="36">
                  <c:v>0.20703309713154616</c:v>
                </c:pt>
                <c:pt idx="37">
                  <c:v>5.0046385602307009E-2</c:v>
                </c:pt>
                <c:pt idx="38">
                  <c:v>0.13955076270042643</c:v>
                </c:pt>
                <c:pt idx="39">
                  <c:v>0.36116046470562324</c:v>
                </c:pt>
                <c:pt idx="40">
                  <c:v>0.61418001138988187</c:v>
                </c:pt>
                <c:pt idx="41">
                  <c:v>0.8980055979406627</c:v>
                </c:pt>
                <c:pt idx="42">
                  <c:v>0.79295334105697091</c:v>
                </c:pt>
                <c:pt idx="43">
                  <c:v>0.56694535380295097</c:v>
                </c:pt>
                <c:pt idx="44">
                  <c:v>0.36270047570904018</c:v>
                </c:pt>
                <c:pt idx="45">
                  <c:v>0.18031162649805266</c:v>
                </c:pt>
                <c:pt idx="46">
                  <c:v>1.9827976245176293E-2</c:v>
                </c:pt>
                <c:pt idx="47">
                  <c:v>0.11873965555342991</c:v>
                </c:pt>
                <c:pt idx="48">
                  <c:v>0.23541403099774194</c:v>
                </c:pt>
                <c:pt idx="49">
                  <c:v>0.33024727808442789</c:v>
                </c:pt>
                <c:pt idx="50">
                  <c:v>0.40331716226106917</c:v>
                </c:pt>
                <c:pt idx="51">
                  <c:v>0.45472378635505972</c:v>
                </c:pt>
                <c:pt idx="52">
                  <c:v>0.48458666854292654</c:v>
                </c:pt>
                <c:pt idx="53">
                  <c:v>0.49304215358583026</c:v>
                </c:pt>
                <c:pt idx="54">
                  <c:v>0.48024111850251461</c:v>
                </c:pt>
                <c:pt idx="55">
                  <c:v>0.44634693831098105</c:v>
                </c:pt>
                <c:pt idx="56">
                  <c:v>0.39153368188270643</c:v>
                </c:pt>
                <c:pt idx="57">
                  <c:v>0.31598451173557152</c:v>
                </c:pt>
                <c:pt idx="58">
                  <c:v>0.21989026413833423</c:v>
                </c:pt>
                <c:pt idx="59">
                  <c:v>0.10344818985026816</c:v>
                </c:pt>
                <c:pt idx="60">
                  <c:v>3.3139163259687132E-2</c:v>
                </c:pt>
                <c:pt idx="61">
                  <c:v>0.18966494128266609</c:v>
                </c:pt>
                <c:pt idx="62">
                  <c:v>0.36591886296190346</c:v>
                </c:pt>
                <c:pt idx="63">
                  <c:v>0.56168799840189365</c:v>
                </c:pt>
                <c:pt idx="64">
                  <c:v>0.77675745903794113</c:v>
                </c:pt>
                <c:pt idx="65">
                  <c:v>0.94267282318120138</c:v>
                </c:pt>
                <c:pt idx="66">
                  <c:v>0.74573949020802921</c:v>
                </c:pt>
                <c:pt idx="67">
                  <c:v>0.56335669938741528</c:v>
                </c:pt>
                <c:pt idx="68">
                  <c:v>0.39555169231676013</c:v>
                </c:pt>
                <c:pt idx="69">
                  <c:v>0.24233963589247898</c:v>
                </c:pt>
                <c:pt idx="70">
                  <c:v>0.10372464058359099</c:v>
                </c:pt>
                <c:pt idx="71">
                  <c:v>2.0299300875334936E-2</c:v>
                </c:pt>
                <c:pt idx="72">
                  <c:v>0.12974745017185096</c:v>
                </c:pt>
                <c:pt idx="73">
                  <c:v>0.22464352743463412</c:v>
                </c:pt>
                <c:pt idx="74">
                  <c:v>0.30501897852365234</c:v>
                </c:pt>
                <c:pt idx="75">
                  <c:v>0.37091229849343854</c:v>
                </c:pt>
                <c:pt idx="76">
                  <c:v>0.42236840939024556</c:v>
                </c:pt>
                <c:pt idx="77">
                  <c:v>0.45943808539753839</c:v>
                </c:pt>
                <c:pt idx="78">
                  <c:v>0.4821774231247975</c:v>
                </c:pt>
                <c:pt idx="79">
                  <c:v>0.49064735279463534</c:v>
                </c:pt>
                <c:pt idx="80">
                  <c:v>0.4849131872355088</c:v>
                </c:pt>
                <c:pt idx="81">
                  <c:v>0.46504420576483074</c:v>
                </c:pt>
                <c:pt idx="82">
                  <c:v>0.43111327039971403</c:v>
                </c:pt>
                <c:pt idx="83">
                  <c:v>0.38319647054960981</c:v>
                </c:pt>
                <c:pt idx="84">
                  <c:v>0.32137279660946483</c:v>
                </c:pt>
                <c:pt idx="85">
                  <c:v>0.24572383756207072</c:v>
                </c:pt>
                <c:pt idx="86">
                  <c:v>0.15633350173434946</c:v>
                </c:pt>
                <c:pt idx="87">
                  <c:v>5.3287759588462436E-2</c:v>
                </c:pt>
                <c:pt idx="88">
                  <c:v>6.33255941218136E-2</c:v>
                </c:pt>
                <c:pt idx="89">
                  <c:v>0.19341715952037264</c:v>
                </c:pt>
                <c:pt idx="90">
                  <c:v>0.33689613472921875</c:v>
                </c:pt>
                <c:pt idx="91">
                  <c:v>0.49367050269501256</c:v>
                </c:pt>
                <c:pt idx="92">
                  <c:v>0.66364720313611936</c:v>
                </c:pt>
                <c:pt idx="93">
                  <c:v>0.84673229264301009</c:v>
                </c:pt>
                <c:pt idx="94">
                  <c:v>0.91270848029866625</c:v>
                </c:pt>
                <c:pt idx="95">
                  <c:v>0.74729164331809983</c:v>
                </c:pt>
                <c:pt idx="96">
                  <c:v>0.59229001950828875</c:v>
                </c:pt>
                <c:pt idx="97">
                  <c:v>0.44770781408998683</c:v>
                </c:pt>
                <c:pt idx="98">
                  <c:v>0.3135453675328419</c:v>
                </c:pt>
                <c:pt idx="99">
                  <c:v>0.18979939243417565</c:v>
                </c:pt>
                <c:pt idx="100">
                  <c:v>7.6463197832625118E-2</c:v>
                </c:pt>
                <c:pt idx="101">
                  <c:v>2.6473098534514516E-2</c:v>
                </c:pt>
                <c:pt idx="102">
                  <c:v>0.11902237202505161</c:v>
                </c:pt>
                <c:pt idx="103">
                  <c:v>0.20120030179407067</c:v>
                </c:pt>
                <c:pt idx="104">
                  <c:v>0.27302519434502681</c:v>
                </c:pt>
                <c:pt idx="105">
                  <c:v>0.33451781542847536</c:v>
                </c:pt>
                <c:pt idx="106">
                  <c:v>0.38570123274042079</c:v>
                </c:pt>
                <c:pt idx="107">
                  <c:v>0.42660066606493618</c:v>
                </c:pt>
                <c:pt idx="108">
                  <c:v>0.45724334715111348</c:v>
                </c:pt>
                <c:pt idx="109">
                  <c:v>0.47765838627850776</c:v>
                </c:pt>
                <c:pt idx="110">
                  <c:v>0.48787664805499387</c:v>
                </c:pt>
                <c:pt idx="111">
                  <c:v>0.4879306318279113</c:v>
                </c:pt>
                <c:pt idx="112">
                  <c:v>0.47785436014452953</c:v>
                </c:pt>
                <c:pt idx="113">
                  <c:v>0.45768327398810937</c:v>
                </c:pt>
                <c:pt idx="114">
                  <c:v>0.42745413237400331</c:v>
                </c:pt>
                <c:pt idx="115">
                  <c:v>0.38720491826814474</c:v>
                </c:pt>
                <c:pt idx="116">
                  <c:v>0.3369747501087097</c:v>
                </c:pt>
                <c:pt idx="117">
                  <c:v>0.27680379792657384</c:v>
                </c:pt>
                <c:pt idx="118">
                  <c:v>0.20673320306470333</c:v>
                </c:pt>
                <c:pt idx="119">
                  <c:v>0.12680500498072789</c:v>
                </c:pt>
                <c:pt idx="120">
                  <c:v>3.7062068842329321E-2</c:v>
                </c:pt>
                <c:pt idx="121">
                  <c:v>6.2451980063493728E-2</c:v>
                </c:pt>
                <c:pt idx="122">
                  <c:v>0.17169282001379615</c:v>
                </c:pt>
                <c:pt idx="123">
                  <c:v>0.29061549232229744</c:v>
                </c:pt>
                <c:pt idx="124">
                  <c:v>0.41917445763423045</c:v>
                </c:pt>
                <c:pt idx="125">
                  <c:v>0.55732364852559169</c:v>
                </c:pt>
                <c:pt idx="126">
                  <c:v>0.7050165212188666</c:v>
                </c:pt>
                <c:pt idx="127">
                  <c:v>0.8622061008388755</c:v>
                </c:pt>
                <c:pt idx="128">
                  <c:v>0.92207472608115526</c:v>
                </c:pt>
                <c:pt idx="129">
                  <c:v>0.77786446571892265</c:v>
                </c:pt>
                <c:pt idx="130">
                  <c:v>0.64146597076166145</c:v>
                </c:pt>
                <c:pt idx="131">
                  <c:v>0.51287829862376011</c:v>
                </c:pt>
                <c:pt idx="132">
                  <c:v>0.39209901671858138</c:v>
                </c:pt>
                <c:pt idx="133">
                  <c:v>0.2791242725195433</c:v>
                </c:pt>
                <c:pt idx="134">
                  <c:v>0.1739488590002658</c:v>
                </c:pt>
                <c:pt idx="135">
                  <c:v>7.6566280385895524E-2</c:v>
                </c:pt>
                <c:pt idx="136">
                  <c:v>1.3031188641590363E-2</c:v>
                </c:pt>
                <c:pt idx="137">
                  <c:v>9.4852442818144311E-2</c:v>
                </c:pt>
                <c:pt idx="138">
                  <c:v>0.16890749072228828</c:v>
                </c:pt>
                <c:pt idx="139">
                  <c:v>0.23520740166832699</c:v>
                </c:pt>
                <c:pt idx="140">
                  <c:v>0.29376425448548527</c:v>
                </c:pt>
                <c:pt idx="141">
                  <c:v>0.34459108655010917</c:v>
                </c:pt>
                <c:pt idx="142">
                  <c:v>0.38770184961599274</c:v>
                </c:pt>
                <c:pt idx="143">
                  <c:v>0.42311136220557444</c:v>
                </c:pt>
                <c:pt idx="144">
                  <c:v>0.45083526772292992</c:v>
                </c:pt>
                <c:pt idx="145">
                  <c:v>0.4708899927608341</c:v>
                </c:pt>
                <c:pt idx="146">
                  <c:v>0.48329270806787394</c:v>
                </c:pt>
                <c:pt idx="147">
                  <c:v>0.48806128995761799</c:v>
                </c:pt>
                <c:pt idx="148">
                  <c:v>0.48521428363883423</c:v>
                </c:pt>
                <c:pt idx="149">
                  <c:v>0.47477087002798513</c:v>
                </c:pt>
                <c:pt idx="150">
                  <c:v>0.45675083045968767</c:v>
                </c:pt>
                <c:pt idx="151">
                  <c:v>0.43117451697206199</c:v>
                </c:pt>
                <c:pt idx="152">
                  <c:v>0.39806281968238144</c:v>
                </c:pt>
                <c:pt idx="153">
                  <c:v>0.35743713796473253</c:v>
                </c:pt>
                <c:pt idx="154">
                  <c:v>0.30931935415547951</c:v>
                </c:pt>
                <c:pt idx="155">
                  <c:v>0.25373180464461065</c:v>
                </c:pt>
                <c:pt idx="156">
                  <c:v>0.19069725399607051</c:v>
                </c:pt>
                <c:pt idx="157">
                  <c:v>0.12023887235717057</c:v>
                </c:pt>
                <c:pt idx="158">
                  <c:v>4.238020976118162E-2</c:v>
                </c:pt>
                <c:pt idx="159">
                  <c:v>4.2854825081839465E-2</c:v>
                </c:pt>
                <c:pt idx="160">
                  <c:v>0.13544198698680465</c:v>
                </c:pt>
                <c:pt idx="161">
                  <c:v>0.23535671654587453</c:v>
                </c:pt>
                <c:pt idx="162">
                  <c:v>0.34257415733904883</c:v>
                </c:pt>
                <c:pt idx="163">
                  <c:v>0.45706917675040248</c:v>
                </c:pt>
                <c:pt idx="164">
                  <c:v>0.57881638357040854</c:v>
                </c:pt>
                <c:pt idx="165">
                  <c:v>0.70779014610339086</c:v>
                </c:pt>
                <c:pt idx="166">
                  <c:v>0.84396460850280497</c:v>
                </c:pt>
                <c:pt idx="167">
                  <c:v>0.956978005906997</c:v>
                </c:pt>
                <c:pt idx="168">
                  <c:v>0.82789267061640359</c:v>
                </c:pt>
                <c:pt idx="169">
                  <c:v>0.70487959620882501</c:v>
                </c:pt>
                <c:pt idx="170">
                  <c:v>0.5879368801486855</c:v>
                </c:pt>
                <c:pt idx="171">
                  <c:v>0.47706196318902006</c:v>
                </c:pt>
                <c:pt idx="172">
                  <c:v>0.37225165515128333</c:v>
                </c:pt>
                <c:pt idx="173">
                  <c:v>0.27350215579252701</c:v>
                </c:pt>
                <c:pt idx="174">
                  <c:v>0.18080907937871871</c:v>
                </c:pt>
                <c:pt idx="175">
                  <c:v>9.4167476047566367E-2</c:v>
                </c:pt>
                <c:pt idx="176">
                  <c:v>1.357185165943342E-2</c:v>
                </c:pt>
                <c:pt idx="177">
                  <c:v>6.0983809362563868E-2</c:v>
                </c:pt>
                <c:pt idx="178">
                  <c:v>0.12950602681453582</c:v>
                </c:pt>
                <c:pt idx="179">
                  <c:v>0.19200180471095951</c:v>
                </c:pt>
                <c:pt idx="180">
                  <c:v>0.24847861218611933</c:v>
                </c:pt>
                <c:pt idx="181">
                  <c:v>0.29894436663040969</c:v>
                </c:pt>
                <c:pt idx="182">
                  <c:v>0.34340741655441609</c:v>
                </c:pt>
                <c:pt idx="183">
                  <c:v>0.38187652503717295</c:v>
                </c:pt>
                <c:pt idx="184">
                  <c:v>0.41436085222608665</c:v>
                </c:pt>
                <c:pt idx="185">
                  <c:v>0.44086994181344963</c:v>
                </c:pt>
                <c:pt idx="186">
                  <c:v>0.4614137043634754</c:v>
                </c:pt>
                <c:pt idx="187">
                  <c:v>0.47600240296236418</c:v>
                </c:pt>
                <c:pt idx="188">
                  <c:v>0.48464664245615863</c:v>
                </c:pt>
                <c:pt idx="189">
                  <c:v>0.48735734888502469</c:v>
                </c:pt>
                <c:pt idx="190">
                  <c:v>0.48414576454000935</c:v>
                </c:pt>
                <c:pt idx="191">
                  <c:v>0.47502342862377134</c:v>
                </c:pt>
                <c:pt idx="192">
                  <c:v>0.46000216929594084</c:v>
                </c:pt>
                <c:pt idx="193">
                  <c:v>0.4390940890085826</c:v>
                </c:pt>
                <c:pt idx="194">
                  <c:v>0.41231155399288566</c:v>
                </c:pt>
                <c:pt idx="195">
                  <c:v>0.37966718493258522</c:v>
                </c:pt>
                <c:pt idx="196">
                  <c:v>0.34117384314635801</c:v>
                </c:pt>
                <c:pt idx="197">
                  <c:v>0.29684462106505283</c:v>
                </c:pt>
                <c:pt idx="198">
                  <c:v>0.2466928351355524</c:v>
                </c:pt>
                <c:pt idx="199">
                  <c:v>0.19073201120547445</c:v>
                </c:pt>
                <c:pt idx="200">
                  <c:v>0.17572055777475004</c:v>
                </c:pt>
                <c:pt idx="201">
                  <c:v>0.68526380335205417</c:v>
                </c:pt>
                <c:pt idx="202">
                  <c:v>0.67115841726335668</c:v>
                </c:pt>
                <c:pt idx="203">
                  <c:v>0.2033308364401476</c:v>
                </c:pt>
                <c:pt idx="204">
                  <c:v>0.14363512662198263</c:v>
                </c:pt>
                <c:pt idx="205">
                  <c:v>0.37028375891832832</c:v>
                </c:pt>
                <c:pt idx="206">
                  <c:v>0.47730233826759672</c:v>
                </c:pt>
                <c:pt idx="207">
                  <c:v>0.46550024574907312</c:v>
                </c:pt>
                <c:pt idx="208">
                  <c:v>0.33579069529201089</c:v>
                </c:pt>
                <c:pt idx="209">
                  <c:v>8.9174773494071768E-2</c:v>
                </c:pt>
                <c:pt idx="210">
                  <c:v>0.27327253270581608</c:v>
                </c:pt>
                <c:pt idx="211">
                  <c:v>0.75041455545193259</c:v>
                </c:pt>
                <c:pt idx="212">
                  <c:v>0.66429992960175155</c:v>
                </c:pt>
                <c:pt idx="213">
                  <c:v>0.23763708952806661</c:v>
                </c:pt>
                <c:pt idx="214">
                  <c:v>9.0235663585225279E-2</c:v>
                </c:pt>
                <c:pt idx="215">
                  <c:v>0.3196956888136615</c:v>
                </c:pt>
                <c:pt idx="216">
                  <c:v>0.45119822517744601</c:v>
                </c:pt>
                <c:pt idx="217">
                  <c:v>0.48526695142706133</c:v>
                </c:pt>
                <c:pt idx="218">
                  <c:v>0.42248553836906955</c:v>
                </c:pt>
                <c:pt idx="219">
                  <c:v>0.26349009327282236</c:v>
                </c:pt>
                <c:pt idx="220">
                  <c:v>8.9623608626798745E-3</c:v>
                </c:pt>
                <c:pt idx="221">
                  <c:v>0.34037633982545668</c:v>
                </c:pt>
                <c:pt idx="222">
                  <c:v>0.78377057458495436</c:v>
                </c:pt>
                <c:pt idx="223">
                  <c:v>0.67703529269991236</c:v>
                </c:pt>
                <c:pt idx="224">
                  <c:v>0.28144717621841342</c:v>
                </c:pt>
                <c:pt idx="225">
                  <c:v>3.1880926808462995E-2</c:v>
                </c:pt>
                <c:pt idx="226">
                  <c:v>0.26321776506421091</c:v>
                </c:pt>
                <c:pt idx="227">
                  <c:v>0.41287695549470538</c:v>
                </c:pt>
                <c:pt idx="228">
                  <c:v>0.48121241551144722</c:v>
                </c:pt>
                <c:pt idx="229">
                  <c:v>0.46861419057928622</c:v>
                </c:pt>
                <c:pt idx="230">
                  <c:v>0.37550465088631801</c:v>
                </c:pt>
                <c:pt idx="231">
                  <c:v>0.20233500446677155</c:v>
                </c:pt>
                <c:pt idx="232">
                  <c:v>5.0417852767217219E-2</c:v>
                </c:pt>
                <c:pt idx="233">
                  <c:v>0.38225424863461033</c:v>
                </c:pt>
                <c:pt idx="234">
                  <c:v>0.79265436401768086</c:v>
                </c:pt>
                <c:pt idx="235">
                  <c:v>0.70487134176257182</c:v>
                </c:pt>
                <c:pt idx="236">
                  <c:v>0.33334560230100396</c:v>
                </c:pt>
                <c:pt idx="237">
                  <c:v>3.1379743280544048E-2</c:v>
                </c:pt>
                <c:pt idx="238">
                  <c:v>0.20122231052348116</c:v>
                </c:pt>
                <c:pt idx="239">
                  <c:v>0.36468372917983771</c:v>
                </c:pt>
                <c:pt idx="240">
                  <c:v>0.45925242414520562</c:v>
                </c:pt>
                <c:pt idx="241">
                  <c:v>0.48519886881911445</c:v>
                </c:pt>
                <c:pt idx="242">
                  <c:v>0.44281407417642082</c:v>
                </c:pt>
                <c:pt idx="243">
                  <c:v>0.33240774126631401</c:v>
                </c:pt>
                <c:pt idx="244">
                  <c:v>0.15430652062752848</c:v>
                </c:pt>
                <c:pt idx="245">
                  <c:v>9.1147577476511366E-2</c:v>
                </c:pt>
                <c:pt idx="246">
                  <c:v>0.40359866566052394</c:v>
                </c:pt>
                <c:pt idx="247">
                  <c:v>0.78267835385008588</c:v>
                </c:pt>
                <c:pt idx="248">
                  <c:v>0.74490672881395881</c:v>
                </c:pt>
                <c:pt idx="249">
                  <c:v>0.39241451543384764</c:v>
                </c:pt>
                <c:pt idx="250">
                  <c:v>9.9513589509737654E-2</c:v>
                </c:pt>
                <c:pt idx="251">
                  <c:v>0.13394221564635878</c:v>
                </c:pt>
                <c:pt idx="252">
                  <c:v>0.30811607954962517</c:v>
                </c:pt>
                <c:pt idx="253">
                  <c:v>0.42318692834800276</c:v>
                </c:pt>
                <c:pt idx="254">
                  <c:v>0.47934822625878559</c:v>
                </c:pt>
                <c:pt idx="255">
                  <c:v>0.47680687694054313</c:v>
                </c:pt>
                <c:pt idx="256">
                  <c:v>0.41578217752469393</c:v>
                </c:pt>
                <c:pt idx="257">
                  <c:v>0.29650482403021261</c:v>
                </c:pt>
                <c:pt idx="258">
                  <c:v>0.1192160153661348</c:v>
                </c:pt>
                <c:pt idx="259">
                  <c:v>0.11583340757514993</c:v>
                </c:pt>
                <c:pt idx="260">
                  <c:v>0.40838377030981921</c:v>
                </c:pt>
                <c:pt idx="261">
                  <c:v>0.7581672955574037</c:v>
                </c:pt>
                <c:pt idx="262">
                  <c:v>0.79519843179812755</c:v>
                </c:pt>
                <c:pt idx="263">
                  <c:v>0.45803666394220954</c:v>
                </c:pt>
                <c:pt idx="264">
                  <c:v>0.17249806855917371</c:v>
                </c:pt>
                <c:pt idx="265">
                  <c:v>6.1528402444184227E-2</c:v>
                </c:pt>
                <c:pt idx="266">
                  <c:v>0.24416486498509138</c:v>
                </c:pt>
                <c:pt idx="267">
                  <c:v>0.37554374866567208</c:v>
                </c:pt>
                <c:pt idx="268">
                  <c:v>0.45580714922135557</c:v>
                </c:pt>
                <c:pt idx="269">
                  <c:v>0.48510615966445014</c:v>
                </c:pt>
                <c:pt idx="270">
                  <c:v>0.46360027643947421</c:v>
                </c:pt>
                <c:pt idx="271">
                  <c:v>0.39145683316196056</c:v>
                </c:pt>
                <c:pt idx="272">
                  <c:v>0.26885043344771042</c:v>
                </c:pt>
                <c:pt idx="273">
                  <c:v>9.5962477303053184E-2</c:v>
                </c:pt>
                <c:pt idx="274">
                  <c:v>0.127019351329688</c:v>
                </c:pt>
                <c:pt idx="275">
                  <c:v>0.39990152417144209</c:v>
                </c:pt>
                <c:pt idx="276">
                  <c:v>0.72248509316672926</c:v>
                </c:pt>
                <c:pt idx="277">
                  <c:v>0.85440441030524727</c:v>
                </c:pt>
                <c:pt idx="278">
                  <c:v>0.52978395762313446</c:v>
                </c:pt>
                <c:pt idx="279">
                  <c:v>0.25031721283270691</c:v>
                </c:pt>
                <c:pt idx="280">
                  <c:v>1.5918371858484326E-2</c:v>
                </c:pt>
                <c:pt idx="281">
                  <c:v>0.17350578286623675</c:v>
                </c:pt>
                <c:pt idx="282">
                  <c:v>0.31805542435674239</c:v>
                </c:pt>
                <c:pt idx="283">
                  <c:v>0.41783729404641701</c:v>
                </c:pt>
                <c:pt idx="284">
                  <c:v>0.47296430990634297</c:v>
                </c:pt>
                <c:pt idx="285">
                  <c:v>0.48355520988153655</c:v>
                </c:pt>
                <c:pt idx="286">
                  <c:v>0.44973420305796319</c:v>
                </c:pt>
                <c:pt idx="287">
                  <c:v>0.37163064105683929</c:v>
                </c:pt>
                <c:pt idx="288">
                  <c:v>0.24937869469889851</c:v>
                </c:pt>
                <c:pt idx="289">
                  <c:v>8.3117090477957678E-2</c:v>
                </c:pt>
                <c:pt idx="290">
                  <c:v>0.12701123083411647</c:v>
                </c:pt>
                <c:pt idx="291">
                  <c:v>0.3808593140825689</c:v>
                </c:pt>
                <c:pt idx="292">
                  <c:v>0.67827651766398822</c:v>
                </c:pt>
                <c:pt idx="293">
                  <c:v>0.92157284194505085</c:v>
                </c:pt>
                <c:pt idx="294">
                  <c:v>0.60735154583956841</c:v>
                </c:pt>
                <c:pt idx="295">
                  <c:v>0.33295941649609695</c:v>
                </c:pt>
                <c:pt idx="296">
                  <c:v>9.8329110968374822E-2</c:v>
                </c:pt>
                <c:pt idx="297">
                  <c:v>9.661173921891697E-2</c:v>
                </c:pt>
                <c:pt idx="298">
                  <c:v>0.2519403594854519</c:v>
                </c:pt>
                <c:pt idx="299">
                  <c:v>0.36773850396945029</c:v>
                </c:pt>
                <c:pt idx="300">
                  <c:v>0.44409227708354204</c:v>
                </c:pt>
                <c:pt idx="301">
                  <c:v>0.48109189757166382</c:v>
                </c:pt>
                <c:pt idx="302">
                  <c:v>0.47883143928769467</c:v>
                </c:pt>
                <c:pt idx="303">
                  <c:v>0.43740869816929262</c:v>
                </c:pt>
                <c:pt idx="304">
                  <c:v>0.35692494482279513</c:v>
                </c:pt>
                <c:pt idx="305">
                  <c:v>0.23748472504440565</c:v>
                </c:pt>
                <c:pt idx="306">
                  <c:v>7.9195747589665411E-2</c:v>
                </c:pt>
                <c:pt idx="307">
                  <c:v>0.11783137272835642</c:v>
                </c:pt>
                <c:pt idx="308">
                  <c:v>0.35348320768126218</c:v>
                </c:pt>
                <c:pt idx="309">
                  <c:v>0.62764371941981256</c:v>
                </c:pt>
                <c:pt idx="310">
                  <c:v>0.94019441874744425</c:v>
                </c:pt>
                <c:pt idx="311">
                  <c:v>0.6905173378930396</c:v>
                </c:pt>
                <c:pt idx="312">
                  <c:v>0.42041603026275354</c:v>
                </c:pt>
                <c:pt idx="313">
                  <c:v>0.1856555292458717</c:v>
                </c:pt>
                <c:pt idx="314">
                  <c:v>1.3821261443641708E-2</c:v>
                </c:pt>
                <c:pt idx="315">
                  <c:v>0.17807481482266407</c:v>
                </c:pt>
                <c:pt idx="316">
                  <c:v>0.30716886695477896</c:v>
                </c:pt>
                <c:pt idx="317">
                  <c:v>0.40117021812254849</c:v>
                </c:pt>
                <c:pt idx="318">
                  <c:v>0.46014863509616699</c:v>
                </c:pt>
                <c:pt idx="319">
                  <c:v>0.48417667926319297</c:v>
                </c:pt>
                <c:pt idx="320">
                  <c:v>0.47332962384052379</c:v>
                </c:pt>
                <c:pt idx="321">
                  <c:v>0.4276852658443886</c:v>
                </c:pt>
                <c:pt idx="322">
                  <c:v>0.34732383824647939</c:v>
                </c:pt>
                <c:pt idx="323">
                  <c:v>0.23232787638079344</c:v>
                </c:pt>
                <c:pt idx="324">
                  <c:v>8.2782155220162412E-2</c:v>
                </c:pt>
                <c:pt idx="325">
                  <c:v>0.10122649118912586</c:v>
                </c:pt>
                <c:pt idx="326">
                  <c:v>0.31960924209712749</c:v>
                </c:pt>
                <c:pt idx="327">
                  <c:v>0.57227536199919271</c:v>
                </c:pt>
                <c:pt idx="328">
                  <c:v>0.8591323452065347</c:v>
                </c:pt>
                <c:pt idx="329">
                  <c:v>0.77911621834998446</c:v>
                </c:pt>
                <c:pt idx="330">
                  <c:v>0.51268053602709807</c:v>
                </c:pt>
                <c:pt idx="331">
                  <c:v>0.27786316995329408</c:v>
                </c:pt>
                <c:pt idx="332">
                  <c:v>7.4618499208718436E-2</c:v>
                </c:pt>
                <c:pt idx="333">
                  <c:v>9.7101544046727106E-2</c:v>
                </c:pt>
                <c:pt idx="334">
                  <c:v>0.23734736803723844</c:v>
                </c:pt>
                <c:pt idx="335">
                  <c:v>0.34617163445673782</c:v>
                </c:pt>
                <c:pt idx="336">
                  <c:v>0.42362913213770281</c:v>
                </c:pt>
                <c:pt idx="337">
                  <c:v>0.46977676126677581</c:v>
                </c:pt>
                <c:pt idx="338">
                  <c:v>0.48467333883743802</c:v>
                </c:pt>
                <c:pt idx="339">
                  <c:v>0.46837961951888829</c:v>
                </c:pt>
                <c:pt idx="340">
                  <c:v>0.42095813550803829</c:v>
                </c:pt>
                <c:pt idx="341">
                  <c:v>0.34247317973133962</c:v>
                </c:pt>
                <c:pt idx="342">
                  <c:v>0.23299069478840972</c:v>
                </c:pt>
                <c:pt idx="343">
                  <c:v>9.2578216498857557E-2</c:v>
                </c:pt>
                <c:pt idx="344">
                  <c:v>7.8695210940671334E-2</c:v>
                </c:pt>
                <c:pt idx="345">
                  <c:v>0.28075909828537249</c:v>
                </c:pt>
                <c:pt idx="346">
                  <c:v>0.513541557574968</c:v>
                </c:pt>
                <c:pt idx="347">
                  <c:v>0.7769693934121813</c:v>
                </c:pt>
                <c:pt idx="348">
                  <c:v>0.87302329769949338</c:v>
                </c:pt>
                <c:pt idx="349">
                  <c:v>0.60974788315301121</c:v>
                </c:pt>
                <c:pt idx="350">
                  <c:v>0.37492705124041348</c:v>
                </c:pt>
                <c:pt idx="351">
                  <c:v>0.16852391033360448</c:v>
                </c:pt>
                <c:pt idx="352">
                  <c:v>9.5002550128098218E-3</c:v>
                </c:pt>
                <c:pt idx="353">
                  <c:v>0.15918584530733915</c:v>
                </c:pt>
                <c:pt idx="354">
                  <c:v>0.28057492150010965</c:v>
                </c:pt>
                <c:pt idx="355">
                  <c:v>0.3737111793192005</c:v>
                </c:pt>
                <c:pt idx="356">
                  <c:v>0.43863978090699862</c:v>
                </c:pt>
                <c:pt idx="357">
                  <c:v>0.47540741166379963</c:v>
                </c:pt>
                <c:pt idx="358">
                  <c:v>0.4840621756250596</c:v>
                </c:pt>
                <c:pt idx="359">
                  <c:v>0.46465353521818464</c:v>
                </c:pt>
                <c:pt idx="360">
                  <c:v>0.71161413476946711</c:v>
                </c:pt>
                <c:pt idx="361">
                  <c:v>0.48319705023152082</c:v>
                </c:pt>
                <c:pt idx="362">
                  <c:v>0.85985806693761324</c:v>
                </c:pt>
                <c:pt idx="363">
                  <c:v>0.45495270781135133</c:v>
                </c:pt>
                <c:pt idx="364">
                  <c:v>0.32743415055130898</c:v>
                </c:pt>
                <c:pt idx="365">
                  <c:v>0.26526390044949721</c:v>
                </c:pt>
                <c:pt idx="366">
                  <c:v>0.17246749707428011</c:v>
                </c:pt>
                <c:pt idx="367">
                  <c:v>0.2251552317560801</c:v>
                </c:pt>
                <c:pt idx="368">
                  <c:v>0.46406848051733229</c:v>
                </c:pt>
                <c:pt idx="369">
                  <c:v>0.77555978295973382</c:v>
                </c:pt>
                <c:pt idx="370">
                  <c:v>0.36908969893562071</c:v>
                </c:pt>
                <c:pt idx="371">
                  <c:v>0.1204936363130571</c:v>
                </c:pt>
                <c:pt idx="372">
                  <c:v>0.2873264016305721</c:v>
                </c:pt>
                <c:pt idx="373">
                  <c:v>0.48330690890614481</c:v>
                </c:pt>
                <c:pt idx="374">
                  <c:v>0.38658921234618893</c:v>
                </c:pt>
                <c:pt idx="375">
                  <c:v>0.13128977482059767</c:v>
                </c:pt>
                <c:pt idx="376">
                  <c:v>0.40669200152400053</c:v>
                </c:pt>
                <c:pt idx="377">
                  <c:v>0.83271062018202002</c:v>
                </c:pt>
                <c:pt idx="378">
                  <c:v>0.30912086977238351</c:v>
                </c:pt>
                <c:pt idx="379">
                  <c:v>0.30618502556789551</c:v>
                </c:pt>
                <c:pt idx="380">
                  <c:v>0.79900532852228423</c:v>
                </c:pt>
                <c:pt idx="381">
                  <c:v>0.29500586974435805</c:v>
                </c:pt>
                <c:pt idx="382">
                  <c:v>0.4639249912890886</c:v>
                </c:pt>
                <c:pt idx="383">
                  <c:v>0.11549590545723021</c:v>
                </c:pt>
                <c:pt idx="384">
                  <c:v>0.46200498113480037</c:v>
                </c:pt>
                <c:pt idx="385">
                  <c:v>0.86866587223184411</c:v>
                </c:pt>
                <c:pt idx="386">
                  <c:v>0.46777570342619867</c:v>
                </c:pt>
                <c:pt idx="387">
                  <c:v>0.26002317473903247</c:v>
                </c:pt>
                <c:pt idx="388">
                  <c:v>0.18528687664276511</c:v>
                </c:pt>
                <c:pt idx="389">
                  <c:v>0.21647052604123473</c:v>
                </c:pt>
                <c:pt idx="390">
                  <c:v>0.35212715480845702</c:v>
                </c:pt>
                <c:pt idx="391">
                  <c:v>0.61066203636910288</c:v>
                </c:pt>
                <c:pt idx="392">
                  <c:v>0.90830385865099394</c:v>
                </c:pt>
                <c:pt idx="393">
                  <c:v>0.41127691162898827</c:v>
                </c:pt>
                <c:pt idx="394">
                  <c:v>3.8015455221529493E-2</c:v>
                </c:pt>
                <c:pt idx="395">
                  <c:v>0.52097802495876255</c:v>
                </c:pt>
                <c:pt idx="396">
                  <c:v>0.74072096407729049</c:v>
                </c:pt>
                <c:pt idx="397">
                  <c:v>0.53283270643189606</c:v>
                </c:pt>
                <c:pt idx="398">
                  <c:v>5.0498531097842303E-2</c:v>
                </c:pt>
                <c:pt idx="399">
                  <c:v>0.39697787785675231</c:v>
                </c:pt>
                <c:pt idx="400">
                  <c:v>0.40216077726284993</c:v>
                </c:pt>
                <c:pt idx="401">
                  <c:v>0.50082873200740785</c:v>
                </c:pt>
                <c:pt idx="402">
                  <c:v>0.14018093344714266</c:v>
                </c:pt>
                <c:pt idx="403">
                  <c:v>0.3589051449818248</c:v>
                </c:pt>
                <c:pt idx="404">
                  <c:v>0.55524175689880551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7B-47BF-BFA0-25C26A9A1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10848"/>
        <c:axId val="205203776"/>
      </c:scatterChart>
      <c:valAx>
        <c:axId val="2052108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5203776"/>
        <c:crosses val="autoZero"/>
        <c:crossBetween val="midCat"/>
      </c:valAx>
      <c:valAx>
        <c:axId val="20520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521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ABS(Tree - BS)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Steps!$D$17:$D$412</c:f>
              <c:numCache>
                <c:formatCode>General</c:formatCode>
                <c:ptCount val="396"/>
                <c:pt idx="0">
                  <c:v>5.3216120478554618E-2</c:v>
                </c:pt>
                <c:pt idx="1">
                  <c:v>7.6689695981714712E-2</c:v>
                </c:pt>
                <c:pt idx="2">
                  <c:v>3.6816193554672694E-2</c:v>
                </c:pt>
                <c:pt idx="3">
                  <c:v>8.2614124559063917E-3</c:v>
                </c:pt>
                <c:pt idx="4">
                  <c:v>1.1107707777126885E-2</c:v>
                </c:pt>
                <c:pt idx="5">
                  <c:v>2.3019872190583213E-2</c:v>
                </c:pt>
                <c:pt idx="6">
                  <c:v>2.8871844245165201E-2</c:v>
                </c:pt>
                <c:pt idx="7">
                  <c:v>2.9792385525846399E-2</c:v>
                </c:pt>
                <c:pt idx="8">
                  <c:v>2.6695488630964048E-2</c:v>
                </c:pt>
                <c:pt idx="9">
                  <c:v>2.0323442397550684E-2</c:v>
                </c:pt>
                <c:pt idx="10">
                  <c:v>1.1281181019349829E-2</c:v>
                </c:pt>
                <c:pt idx="11">
                  <c:v>6.3507171568666365E-5</c:v>
                </c:pt>
                <c:pt idx="12">
                  <c:v>1.2923373348844747E-2</c:v>
                </c:pt>
                <c:pt idx="13">
                  <c:v>2.7344803774813853E-2</c:v>
                </c:pt>
                <c:pt idx="14">
                  <c:v>3.9000062498751209E-2</c:v>
                </c:pt>
                <c:pt idx="15">
                  <c:v>2.528813273141961E-2</c:v>
                </c:pt>
                <c:pt idx="16">
                  <c:v>1.399415531349435E-2</c:v>
                </c:pt>
                <c:pt idx="17">
                  <c:v>4.8726441308242219E-3</c:v>
                </c:pt>
                <c:pt idx="18">
                  <c:v>2.2963048795858754E-3</c:v>
                </c:pt>
                <c:pt idx="19">
                  <c:v>7.7096384785884098E-3</c:v>
                </c:pt>
                <c:pt idx="20">
                  <c:v>1.1543770085001848E-2</c:v>
                </c:pt>
                <c:pt idx="21">
                  <c:v>1.395678727916061E-2</c:v>
                </c:pt>
                <c:pt idx="22">
                  <c:v>1.5090443086954508E-2</c:v>
                </c:pt>
                <c:pt idx="23">
                  <c:v>1.5071940404376871E-2</c:v>
                </c:pt>
                <c:pt idx="24">
                  <c:v>1.401552378615567E-2</c:v>
                </c:pt>
                <c:pt idx="25">
                  <c:v>1.2023895003374196E-2</c:v>
                </c:pt>
                <c:pt idx="26">
                  <c:v>9.1894693329268584E-3</c:v>
                </c:pt>
                <c:pt idx="27">
                  <c:v>5.5954891116634098E-3</c:v>
                </c:pt>
                <c:pt idx="28">
                  <c:v>1.3170101474291318E-3</c:v>
                </c:pt>
                <c:pt idx="29">
                  <c:v>3.5782246846263188E-3</c:v>
                </c:pt>
                <c:pt idx="30">
                  <c:v>9.029011617640581E-3</c:v>
                </c:pt>
                <c:pt idx="31">
                  <c:v>1.4980000277801997E-2</c:v>
                </c:pt>
                <c:pt idx="32">
                  <c:v>2.1381085665253874E-2</c:v>
                </c:pt>
                <c:pt idx="33">
                  <c:v>1.8440775373417928E-2</c:v>
                </c:pt>
                <c:pt idx="34">
                  <c:v>1.2885121677339795E-2</c:v>
                </c:pt>
                <c:pt idx="35">
                  <c:v>8.060010571312004E-3</c:v>
                </c:pt>
                <c:pt idx="36">
                  <c:v>3.9198179673489708E-3</c:v>
                </c:pt>
                <c:pt idx="37">
                  <c:v>4.2187183500375092E-4</c:v>
                </c:pt>
                <c:pt idx="38">
                  <c:v>2.4737428240297898E-3</c:v>
                </c:pt>
                <c:pt idx="39">
                  <c:v>4.8043679795457539E-3</c:v>
                </c:pt>
                <c:pt idx="40">
                  <c:v>6.6049455616885577E-3</c:v>
                </c:pt>
                <c:pt idx="41">
                  <c:v>7.9081796521778269E-3</c:v>
                </c:pt>
                <c:pt idx="42">
                  <c:v>8.7446881991357639E-3</c:v>
                </c:pt>
                <c:pt idx="43">
                  <c:v>9.1431446894891799E-3</c:v>
                </c:pt>
                <c:pt idx="44">
                  <c:v>9.1304102515894492E-3</c:v>
                </c:pt>
                <c:pt idx="45">
                  <c:v>8.7316567000457201E-3</c:v>
                </c:pt>
                <c:pt idx="46">
                  <c:v>7.9704810412675187E-3</c:v>
                </c:pt>
                <c:pt idx="47">
                  <c:v>6.8690119628544988E-3</c:v>
                </c:pt>
                <c:pt idx="48">
                  <c:v>5.4480088230270951E-3</c:v>
                </c:pt>
                <c:pt idx="49">
                  <c:v>3.7269536294632921E-3</c:v>
                </c:pt>
                <c:pt idx="50">
                  <c:v>1.7241364975044693E-3</c:v>
                </c:pt>
                <c:pt idx="51">
                  <c:v>5.4326497147028086E-4</c:v>
                </c:pt>
                <c:pt idx="52">
                  <c:v>3.0591119561720337E-3</c:v>
                </c:pt>
                <c:pt idx="53">
                  <c:v>5.8082359200302136E-3</c:v>
                </c:pt>
                <c:pt idx="54">
                  <c:v>8.7763749750295883E-3</c:v>
                </c:pt>
                <c:pt idx="55">
                  <c:v>1.1950114754429864E-2</c:v>
                </c:pt>
                <c:pt idx="56">
                  <c:v>1.4282921563351536E-2</c:v>
                </c:pt>
                <c:pt idx="57">
                  <c:v>1.1130440152358645E-2</c:v>
                </c:pt>
                <c:pt idx="58">
                  <c:v>8.2846573439325777E-3</c:v>
                </c:pt>
                <c:pt idx="59">
                  <c:v>5.7326332219820308E-3</c:v>
                </c:pt>
                <c:pt idx="60">
                  <c:v>3.4619947984639854E-3</c:v>
                </c:pt>
                <c:pt idx="61">
                  <c:v>1.4609104307548026E-3</c:v>
                </c:pt>
                <c:pt idx="62">
                  <c:v>2.8193473437965189E-4</c:v>
                </c:pt>
                <c:pt idx="63">
                  <c:v>1.7773623311212461E-3</c:v>
                </c:pt>
                <c:pt idx="64">
                  <c:v>3.0357233437112718E-3</c:v>
                </c:pt>
                <c:pt idx="65">
                  <c:v>4.0669197136486979E-3</c:v>
                </c:pt>
                <c:pt idx="66">
                  <c:v>4.8804249801768229E-3</c:v>
                </c:pt>
                <c:pt idx="67">
                  <c:v>5.4853040180551371E-3</c:v>
                </c:pt>
                <c:pt idx="68">
                  <c:v>5.890231864071005E-3</c:v>
                </c:pt>
                <c:pt idx="69">
                  <c:v>6.103511685124019E-3</c:v>
                </c:pt>
                <c:pt idx="70">
                  <c:v>6.1330919099329417E-3</c:v>
                </c:pt>
                <c:pt idx="71">
                  <c:v>5.9865825584630716E-3</c:v>
                </c:pt>
                <c:pt idx="72">
                  <c:v>5.671270802010131E-3</c:v>
                </c:pt>
                <c:pt idx="73">
                  <c:v>5.1941357879483618E-3</c:v>
                </c:pt>
                <c:pt idx="74">
                  <c:v>4.5618627446382121E-3</c:v>
                </c:pt>
                <c:pt idx="75">
                  <c:v>3.7808564306995862E-3</c:v>
                </c:pt>
                <c:pt idx="76">
                  <c:v>2.8572539251403573E-3</c:v>
                </c:pt>
                <c:pt idx="77">
                  <c:v>1.7969368015442466E-3</c:v>
                </c:pt>
                <c:pt idx="78">
                  <c:v>6.0554272259616404E-4</c:v>
                </c:pt>
                <c:pt idx="79">
                  <c:v>7.1152352945857977E-4</c:v>
                </c:pt>
                <c:pt idx="80">
                  <c:v>2.1490795502263627E-3</c:v>
                </c:pt>
                <c:pt idx="81">
                  <c:v>3.7021553266947116E-3</c:v>
                </c:pt>
                <c:pt idx="82">
                  <c:v>5.3659837249457887E-3</c:v>
                </c:pt>
                <c:pt idx="83">
                  <c:v>7.1359914315711759E-3</c:v>
                </c:pt>
                <c:pt idx="84">
                  <c:v>9.0077903472660648E-3</c:v>
                </c:pt>
                <c:pt idx="85">
                  <c:v>9.6074576873543815E-3</c:v>
                </c:pt>
                <c:pt idx="86">
                  <c:v>7.7842879512302066E-3</c:v>
                </c:pt>
                <c:pt idx="87">
                  <c:v>6.1060826753431829E-3</c:v>
                </c:pt>
                <c:pt idx="88">
                  <c:v>4.5684470825508861E-3</c:v>
                </c:pt>
                <c:pt idx="89">
                  <c:v>3.1671249245741606E-3</c:v>
                </c:pt>
                <c:pt idx="90">
                  <c:v>1.8979939243417565E-3</c:v>
                </c:pt>
                <c:pt idx="91">
                  <c:v>7.5706136467945662E-4</c:v>
                </c:pt>
                <c:pt idx="92">
                  <c:v>2.5954018171092663E-4</c:v>
                </c:pt>
                <c:pt idx="93">
                  <c:v>1.1555570099519574E-3</c:v>
                </c:pt>
                <c:pt idx="94">
                  <c:v>1.9346182864814487E-3</c:v>
                </c:pt>
                <c:pt idx="95">
                  <c:v>2.6002399461431125E-3</c:v>
                </c:pt>
                <c:pt idx="96">
                  <c:v>3.1558284474384468E-3</c:v>
                </c:pt>
                <c:pt idx="97">
                  <c:v>3.6046844181347737E-3</c:v>
                </c:pt>
                <c:pt idx="98">
                  <c:v>3.9500061672679276E-3</c:v>
                </c:pt>
                <c:pt idx="99">
                  <c:v>4.1948930931294814E-3</c:v>
                </c:pt>
                <c:pt idx="100">
                  <c:v>4.3423489661682524E-3</c:v>
                </c:pt>
                <c:pt idx="101">
                  <c:v>4.3952851176125574E-3</c:v>
                </c:pt>
                <c:pt idx="102">
                  <c:v>4.3565234984634937E-3</c:v>
                </c:pt>
                <c:pt idx="103">
                  <c:v>4.2287996472967215E-3</c:v>
                </c:pt>
                <c:pt idx="104">
                  <c:v>4.014765561299205E-3</c:v>
                </c:pt>
                <c:pt idx="105">
                  <c:v>3.7169924554261158E-3</c:v>
                </c:pt>
                <c:pt idx="106">
                  <c:v>3.3379734333460753E-3</c:v>
                </c:pt>
                <c:pt idx="107">
                  <c:v>2.8801260693052111E-3</c:v>
                </c:pt>
                <c:pt idx="108">
                  <c:v>2.3457948976828291E-3</c:v>
                </c:pt>
                <c:pt idx="109">
                  <c:v>1.7372538072664145E-3</c:v>
                </c:pt>
                <c:pt idx="110">
                  <c:v>1.0567083748393991E-3</c:v>
                </c:pt>
                <c:pt idx="111">
                  <c:v>3.0629808960602745E-4</c:v>
                </c:pt>
                <c:pt idx="112">
                  <c:v>5.1190147593027646E-4</c:v>
                </c:pt>
                <c:pt idx="113">
                  <c:v>1.3958765854780175E-3</c:v>
                </c:pt>
                <c:pt idx="114">
                  <c:v>2.3436733251798181E-3</c:v>
                </c:pt>
                <c:pt idx="115">
                  <c:v>3.3533956610738436E-3</c:v>
                </c:pt>
                <c:pt idx="116">
                  <c:v>4.4232035597269181E-3</c:v>
                </c:pt>
                <c:pt idx="117">
                  <c:v>5.551311190699737E-3</c:v>
                </c:pt>
                <c:pt idx="118">
                  <c:v>6.7359851628037148E-3</c:v>
                </c:pt>
                <c:pt idx="119">
                  <c:v>7.1478660936523664E-3</c:v>
                </c:pt>
                <c:pt idx="120">
                  <c:v>5.9835728132224819E-3</c:v>
                </c:pt>
                <c:pt idx="121">
                  <c:v>4.8966867997073393E-3</c:v>
                </c:pt>
                <c:pt idx="122">
                  <c:v>3.8854416562406069E-3</c:v>
                </c:pt>
                <c:pt idx="123">
                  <c:v>2.9481129076585066E-3</c:v>
                </c:pt>
                <c:pt idx="124">
                  <c:v>2.0830169591010694E-3</c:v>
                </c:pt>
                <c:pt idx="125">
                  <c:v>1.2885100666686355E-3</c:v>
                </c:pt>
                <c:pt idx="126">
                  <c:v>5.6298735577864356E-4</c:v>
                </c:pt>
                <c:pt idx="127">
                  <c:v>9.5118165267082944E-5</c:v>
                </c:pt>
                <c:pt idx="128">
                  <c:v>6.8733654216046602E-4</c:v>
                </c:pt>
                <c:pt idx="129">
                  <c:v>1.2151618037574696E-3</c:v>
                </c:pt>
                <c:pt idx="130">
                  <c:v>1.6800528690594785E-3</c:v>
                </c:pt>
                <c:pt idx="131">
                  <c:v>2.0834344289750728E-3</c:v>
                </c:pt>
                <c:pt idx="132">
                  <c:v>2.4266977926064026E-3</c:v>
                </c:pt>
                <c:pt idx="133">
                  <c:v>2.7112017455663828E-3</c:v>
                </c:pt>
                <c:pt idx="134">
                  <c:v>2.9382733486498225E-3</c:v>
                </c:pt>
                <c:pt idx="135">
                  <c:v>3.1092087429167581E-3</c:v>
                </c:pt>
                <c:pt idx="136">
                  <c:v>3.2252739230194116E-3</c:v>
                </c:pt>
                <c:pt idx="137">
                  <c:v>3.287705497060367E-3</c:v>
                </c:pt>
                <c:pt idx="138">
                  <c:v>3.297711418632554E-3</c:v>
                </c:pt>
                <c:pt idx="139">
                  <c:v>3.2564717022740552E-3</c:v>
                </c:pt>
                <c:pt idx="140">
                  <c:v>3.1651391335199008E-3</c:v>
                </c:pt>
                <c:pt idx="141">
                  <c:v>3.0248399368191237E-3</c:v>
                </c:pt>
                <c:pt idx="142">
                  <c:v>2.8366744537635658E-3</c:v>
                </c:pt>
                <c:pt idx="143">
                  <c:v>2.6017177757018395E-3</c:v>
                </c:pt>
                <c:pt idx="144">
                  <c:v>2.3210203763943671E-3</c:v>
                </c:pt>
                <c:pt idx="145">
                  <c:v>1.9956087364869646E-3</c:v>
                </c:pt>
                <c:pt idx="146">
                  <c:v>1.6264859272090426E-3</c:v>
                </c:pt>
                <c:pt idx="147">
                  <c:v>1.214632191057774E-3</c:v>
                </c:pt>
                <c:pt idx="148">
                  <c:v>7.6100552124791498E-4</c:v>
                </c:pt>
                <c:pt idx="149">
                  <c:v>2.6654219975585924E-4</c:v>
                </c:pt>
                <c:pt idx="150">
                  <c:v>2.6784265676149666E-4</c:v>
                </c:pt>
                <c:pt idx="151">
                  <c:v>8.4125457755779287E-4</c:v>
                </c:pt>
                <c:pt idx="152">
                  <c:v>1.4528192379374971E-3</c:v>
                </c:pt>
                <c:pt idx="153">
                  <c:v>2.1016819468653303E-3</c:v>
                </c:pt>
                <c:pt idx="154">
                  <c:v>2.7870071753073322E-3</c:v>
                </c:pt>
                <c:pt idx="155">
                  <c:v>3.5079780822449003E-3</c:v>
                </c:pt>
                <c:pt idx="156">
                  <c:v>4.2637960608638004E-3</c:v>
                </c:pt>
                <c:pt idx="157">
                  <c:v>5.0536802904359579E-3</c:v>
                </c:pt>
                <c:pt idx="158">
                  <c:v>5.6962976542083155E-3</c:v>
                </c:pt>
                <c:pt idx="159">
                  <c:v>4.8987731989136307E-3</c:v>
                </c:pt>
                <c:pt idx="160">
                  <c:v>4.1463505659342648E-3</c:v>
                </c:pt>
                <c:pt idx="161">
                  <c:v>3.4382273692905585E-3</c:v>
                </c:pt>
                <c:pt idx="162">
                  <c:v>2.7736160650524422E-3</c:v>
                </c:pt>
                <c:pt idx="163">
                  <c:v>2.1517436713947014E-3</c:v>
                </c:pt>
                <c:pt idx="164">
                  <c:v>1.5718514700719943E-3</c:v>
                </c:pt>
                <c:pt idx="165">
                  <c:v>1.033194739306964E-3</c:v>
                </c:pt>
                <c:pt idx="166">
                  <c:v>5.3504247754299072E-4</c:v>
                </c:pt>
                <c:pt idx="167">
                  <c:v>7.6677128019397855E-5</c:v>
                </c:pt>
                <c:pt idx="168">
                  <c:v>3.426056705762015E-4</c:v>
                </c:pt>
                <c:pt idx="169">
                  <c:v>7.2349735650578673E-4</c:v>
                </c:pt>
                <c:pt idx="170">
                  <c:v>1.066676692838664E-3</c:v>
                </c:pt>
                <c:pt idx="171">
                  <c:v>1.3728100120780073E-3</c:v>
                </c:pt>
                <c:pt idx="172">
                  <c:v>1.642551465002251E-3</c:v>
                </c:pt>
                <c:pt idx="173">
                  <c:v>1.8765432598601972E-3</c:v>
                </c:pt>
                <c:pt idx="174">
                  <c:v>2.0754158969411574E-3</c:v>
                </c:pt>
                <c:pt idx="175">
                  <c:v>2.2397883904112792E-3</c:v>
                </c:pt>
                <c:pt idx="176">
                  <c:v>2.3702685043733851E-3</c:v>
                </c:pt>
                <c:pt idx="177">
                  <c:v>2.4674529645105636E-3</c:v>
                </c:pt>
                <c:pt idx="178">
                  <c:v>2.5319276753317244E-3</c:v>
                </c:pt>
                <c:pt idx="179">
                  <c:v>2.5642679495034848E-3</c:v>
                </c:pt>
                <c:pt idx="180">
                  <c:v>2.5650386783422352E-3</c:v>
                </c:pt>
                <c:pt idx="181">
                  <c:v>2.5347945787435044E-3</c:v>
                </c:pt>
                <c:pt idx="182">
                  <c:v>2.4740803574154757E-3</c:v>
                </c:pt>
                <c:pt idx="183">
                  <c:v>2.3834309289945121E-3</c:v>
                </c:pt>
                <c:pt idx="184">
                  <c:v>2.2633715928277454E-3</c:v>
                </c:pt>
                <c:pt idx="185">
                  <c:v>2.1144182256045418E-3</c:v>
                </c:pt>
                <c:pt idx="186">
                  <c:v>1.937077474145843E-3</c:v>
                </c:pt>
                <c:pt idx="187">
                  <c:v>1.73184691952466E-3</c:v>
                </c:pt>
                <c:pt idx="188">
                  <c:v>1.4992152579043072E-3</c:v>
                </c:pt>
                <c:pt idx="189">
                  <c:v>1.2396624881183538E-3</c:v>
                </c:pt>
                <c:pt idx="190">
                  <c:v>9.5366005602737225E-4</c:v>
                </c:pt>
                <c:pt idx="191">
                  <c:v>8.571734525597563E-4</c:v>
                </c:pt>
                <c:pt idx="192">
                  <c:v>3.2631609683431151E-3</c:v>
                </c:pt>
                <c:pt idx="193">
                  <c:v>3.1216670570388683E-3</c:v>
                </c:pt>
                <c:pt idx="194">
                  <c:v>9.2423107472794364E-4</c:v>
                </c:pt>
                <c:pt idx="195">
                  <c:v>6.3837834054214504E-4</c:v>
                </c:pt>
                <c:pt idx="196">
                  <c:v>1.6099293866014275E-3</c:v>
                </c:pt>
                <c:pt idx="197">
                  <c:v>2.0310737798621137E-3</c:v>
                </c:pt>
                <c:pt idx="198">
                  <c:v>1.9395843572878047E-3</c:v>
                </c:pt>
                <c:pt idx="199">
                  <c:v>1.3705742664980036E-3</c:v>
                </c:pt>
                <c:pt idx="200">
                  <c:v>3.5669909397628707E-4</c:v>
                </c:pt>
                <c:pt idx="201">
                  <c:v>1.0716569910032003E-3</c:v>
                </c:pt>
                <c:pt idx="202">
                  <c:v>2.8862098286612792E-3</c:v>
                </c:pt>
                <c:pt idx="203">
                  <c:v>2.5067921871764209E-3</c:v>
                </c:pt>
                <c:pt idx="204">
                  <c:v>8.8013736862246894E-4</c:v>
                </c:pt>
                <c:pt idx="205">
                  <c:v>3.2812968576445556E-4</c:v>
                </c:pt>
                <c:pt idx="206">
                  <c:v>1.1417703171916482E-3</c:v>
                </c:pt>
                <c:pt idx="207">
                  <c:v>1.5831516672892842E-3</c:v>
                </c:pt>
                <c:pt idx="208">
                  <c:v>1.6733343152657287E-3</c:v>
                </c:pt>
                <c:pt idx="209">
                  <c:v>1.4321543673527781E-3</c:v>
                </c:pt>
                <c:pt idx="210">
                  <c:v>8.7830031090940786E-4</c:v>
                </c:pt>
                <c:pt idx="211">
                  <c:v>2.9384789713704507E-5</c:v>
                </c:pt>
                <c:pt idx="212">
                  <c:v>1.0979881929853441E-3</c:v>
                </c:pt>
                <c:pt idx="213">
                  <c:v>2.4881605542379504E-3</c:v>
                </c:pt>
                <c:pt idx="214">
                  <c:v>2.1157352896872261E-3</c:v>
                </c:pt>
                <c:pt idx="215">
                  <c:v>8.6599131144127206E-4</c:v>
                </c:pt>
                <c:pt idx="216">
                  <c:v>9.660886911655453E-5</c:v>
                </c:pt>
                <c:pt idx="217">
                  <c:v>7.8572467183346539E-4</c:v>
                </c:pt>
                <c:pt idx="218">
                  <c:v>1.2143439867491335E-3</c:v>
                </c:pt>
                <c:pt idx="219">
                  <c:v>1.3948185956853543E-3</c:v>
                </c:pt>
                <c:pt idx="220">
                  <c:v>1.3388976873693892E-3</c:v>
                </c:pt>
                <c:pt idx="221">
                  <c:v>1.0577595799614592E-3</c:v>
                </c:pt>
                <c:pt idx="222">
                  <c:v>5.6204167907436542E-4</c:v>
                </c:pt>
                <c:pt idx="223">
                  <c:v>1.38131103471828E-4</c:v>
                </c:pt>
                <c:pt idx="224">
                  <c:v>1.0331195909043522E-3</c:v>
                </c:pt>
                <c:pt idx="225">
                  <c:v>2.1137449707138156E-3</c:v>
                </c:pt>
                <c:pt idx="226">
                  <c:v>1.8549245835857153E-3</c:v>
                </c:pt>
                <c:pt idx="227">
                  <c:v>8.6583273324936094E-4</c:v>
                </c:pt>
                <c:pt idx="228">
                  <c:v>8.04608802065232E-5</c:v>
                </c:pt>
                <c:pt idx="229">
                  <c:v>5.0942357094552193E-4</c:v>
                </c:pt>
                <c:pt idx="230">
                  <c:v>9.1170932294959428E-4</c:v>
                </c:pt>
                <c:pt idx="231">
                  <c:v>1.1339566028276682E-3</c:v>
                </c:pt>
                <c:pt idx="232">
                  <c:v>1.1834118751685718E-3</c:v>
                </c:pt>
                <c:pt idx="233">
                  <c:v>1.0670218654853514E-3</c:v>
                </c:pt>
                <c:pt idx="234">
                  <c:v>7.9144700301503335E-4</c:v>
                </c:pt>
                <c:pt idx="235">
                  <c:v>3.6307416618241994E-4</c:v>
                </c:pt>
                <c:pt idx="236">
                  <c:v>2.1197111041049155E-4</c:v>
                </c:pt>
                <c:pt idx="237">
                  <c:v>9.2781302450695158E-4</c:v>
                </c:pt>
                <c:pt idx="238">
                  <c:v>1.778814440568377E-3</c:v>
                </c:pt>
                <c:pt idx="239">
                  <c:v>1.6739477051999074E-3</c:v>
                </c:pt>
                <c:pt idx="240">
                  <c:v>8.7203225651966143E-4</c:v>
                </c:pt>
                <c:pt idx="241">
                  <c:v>2.1871118573568715E-4</c:v>
                </c:pt>
                <c:pt idx="242">
                  <c:v>2.9117872966599734E-4</c:v>
                </c:pt>
                <c:pt idx="243">
                  <c:v>6.6261522483790358E-4</c:v>
                </c:pt>
                <c:pt idx="244">
                  <c:v>9.0039771988936756E-4</c:v>
                </c:pt>
                <c:pt idx="245">
                  <c:v>1.0091541605448118E-3</c:v>
                </c:pt>
                <c:pt idx="246">
                  <c:v>9.933476602927982E-4</c:v>
                </c:pt>
                <c:pt idx="247">
                  <c:v>8.5728284025710089E-4</c:v>
                </c:pt>
                <c:pt idx="248">
                  <c:v>6.051118857759441E-4</c:v>
                </c:pt>
                <c:pt idx="249">
                  <c:v>2.408404350831006E-4</c:v>
                </c:pt>
                <c:pt idx="250">
                  <c:v>2.3166681515029985E-4</c:v>
                </c:pt>
                <c:pt idx="251">
                  <c:v>8.086807332867707E-4</c:v>
                </c:pt>
                <c:pt idx="252">
                  <c:v>1.4866025403086347E-3</c:v>
                </c:pt>
                <c:pt idx="253">
                  <c:v>1.5440746248507331E-3</c:v>
                </c:pt>
                <c:pt idx="254">
                  <c:v>8.8083973835040297E-4</c:v>
                </c:pt>
                <c:pt idx="255">
                  <c:v>3.2856774963652136E-4</c:v>
                </c:pt>
                <c:pt idx="256">
                  <c:v>1.1609132536638533E-4</c:v>
                </c:pt>
                <c:pt idx="257">
                  <c:v>4.5638292520577828E-4</c:v>
                </c:pt>
                <c:pt idx="258">
                  <c:v>6.9545138641791127E-4</c:v>
                </c:pt>
                <c:pt idx="259">
                  <c:v>8.3634339306670746E-4</c:v>
                </c:pt>
                <c:pt idx="260">
                  <c:v>8.8201119938990935E-4</c:v>
                </c:pt>
                <c:pt idx="261">
                  <c:v>8.3531581340445804E-4</c:v>
                </c:pt>
                <c:pt idx="262">
                  <c:v>6.9903005921778671E-4</c:v>
                </c:pt>
                <c:pt idx="263">
                  <c:v>4.7584147512869102E-4</c:v>
                </c:pt>
                <c:pt idx="264">
                  <c:v>1.683552233386898E-4</c:v>
                </c:pt>
                <c:pt idx="265">
                  <c:v>2.2090321970380522E-4</c:v>
                </c:pt>
                <c:pt idx="266">
                  <c:v>6.8948538650248636E-4</c:v>
                </c:pt>
                <c:pt idx="267">
                  <c:v>1.2350172532764603E-3</c:v>
                </c:pt>
                <c:pt idx="268">
                  <c:v>1.4481430683139784E-3</c:v>
                </c:pt>
                <c:pt idx="269">
                  <c:v>8.9039320608930161E-4</c:v>
                </c:pt>
                <c:pt idx="270">
                  <c:v>4.1719535472117819E-4</c:v>
                </c:pt>
                <c:pt idx="271">
                  <c:v>2.6311358443775745E-5</c:v>
                </c:pt>
                <c:pt idx="272">
                  <c:v>2.8443570961678155E-4</c:v>
                </c:pt>
                <c:pt idx="273">
                  <c:v>5.1716329163697949E-4</c:v>
                </c:pt>
                <c:pt idx="274">
                  <c:v>6.7393111942970485E-4</c:v>
                </c:pt>
                <c:pt idx="275">
                  <c:v>7.5674289585014876E-4</c:v>
                </c:pt>
                <c:pt idx="276">
                  <c:v>7.6754795219291516E-4</c:v>
                </c:pt>
                <c:pt idx="277">
                  <c:v>7.0824283946135935E-4</c:v>
                </c:pt>
                <c:pt idx="278">
                  <c:v>5.806728766513114E-4</c:v>
                </c:pt>
                <c:pt idx="279">
                  <c:v>3.8663363519209071E-4</c:v>
                </c:pt>
                <c:pt idx="280">
                  <c:v>1.2787244688916566E-4</c:v>
                </c:pt>
                <c:pt idx="281">
                  <c:v>1.9391027608262057E-4</c:v>
                </c:pt>
                <c:pt idx="282">
                  <c:v>5.7705956679177106E-4</c:v>
                </c:pt>
                <c:pt idx="283">
                  <c:v>1.0199646882165236E-3</c:v>
                </c:pt>
                <c:pt idx="284">
                  <c:v>1.3754818536493296E-3</c:v>
                </c:pt>
                <c:pt idx="285">
                  <c:v>8.9978006791047171E-4</c:v>
                </c:pt>
                <c:pt idx="286">
                  <c:v>4.8964620072955434E-4</c:v>
                </c:pt>
                <c:pt idx="287">
                  <c:v>1.4354614739908733E-4</c:v>
                </c:pt>
                <c:pt idx="288">
                  <c:v>1.4001701336074923E-4</c:v>
                </c:pt>
                <c:pt idx="289">
                  <c:v>3.625041143675567E-4</c:v>
                </c:pt>
                <c:pt idx="290">
                  <c:v>5.2534071995635756E-4</c:v>
                </c:pt>
                <c:pt idx="291">
                  <c:v>6.2991812352275467E-4</c:v>
                </c:pt>
                <c:pt idx="292">
                  <c:v>6.7759422193192087E-4</c:v>
                </c:pt>
                <c:pt idx="293">
                  <c:v>6.6969432068209045E-4</c:v>
                </c:pt>
                <c:pt idx="294">
                  <c:v>6.0751208079068419E-4</c:v>
                </c:pt>
                <c:pt idx="295">
                  <c:v>4.9231026872109673E-4</c:v>
                </c:pt>
                <c:pt idx="296">
                  <c:v>3.2532154115672007E-4</c:v>
                </c:pt>
                <c:pt idx="297">
                  <c:v>1.0774931644852437E-4</c:v>
                </c:pt>
                <c:pt idx="298">
                  <c:v>1.5923158476804922E-4</c:v>
                </c:pt>
                <c:pt idx="299">
                  <c:v>4.7447410427015058E-4</c:v>
                </c:pt>
                <c:pt idx="300">
                  <c:v>8.3685829255975008E-4</c:v>
                </c:pt>
                <c:pt idx="301">
                  <c:v>1.2452906208575421E-3</c:v>
                </c:pt>
                <c:pt idx="302">
                  <c:v>9.0857544459610473E-4</c:v>
                </c:pt>
                <c:pt idx="303">
                  <c:v>5.4956343825196541E-4</c:v>
                </c:pt>
                <c:pt idx="304">
                  <c:v>2.4111107694269052E-4</c:v>
                </c:pt>
                <c:pt idx="305">
                  <c:v>1.7833885733731236E-5</c:v>
                </c:pt>
                <c:pt idx="306">
                  <c:v>2.2830104464444112E-4</c:v>
                </c:pt>
                <c:pt idx="307">
                  <c:v>3.9129791968761651E-4</c:v>
                </c:pt>
                <c:pt idx="308">
                  <c:v>5.0781040268677025E-4</c:v>
                </c:pt>
                <c:pt idx="309">
                  <c:v>5.7880331458637357E-4</c:v>
                </c:pt>
                <c:pt idx="310">
                  <c:v>6.0522084907899121E-4</c:v>
                </c:pt>
                <c:pt idx="311">
                  <c:v>5.8798711036089912E-4</c:v>
                </c:pt>
                <c:pt idx="312">
                  <c:v>5.2800650104245506E-4</c:v>
                </c:pt>
                <c:pt idx="313">
                  <c:v>4.2616421870733667E-4</c:v>
                </c:pt>
                <c:pt idx="314">
                  <c:v>2.8332667851316273E-4</c:v>
                </c:pt>
                <c:pt idx="315">
                  <c:v>1.0034200632746959E-4</c:v>
                </c:pt>
                <c:pt idx="316">
                  <c:v>1.2195962793870585E-4</c:v>
                </c:pt>
                <c:pt idx="317">
                  <c:v>3.8276555939775747E-4</c:v>
                </c:pt>
                <c:pt idx="318">
                  <c:v>6.812801928561818E-4</c:v>
                </c:pt>
                <c:pt idx="319">
                  <c:v>1.016724668883473E-3</c:v>
                </c:pt>
                <c:pt idx="320">
                  <c:v>9.1660731570586407E-4</c:v>
                </c:pt>
                <c:pt idx="321">
                  <c:v>5.9962635792643049E-4</c:v>
                </c:pt>
                <c:pt idx="322">
                  <c:v>3.2309670924801637E-4</c:v>
                </c:pt>
                <c:pt idx="323">
                  <c:v>8.6264160934934608E-5</c:v>
                </c:pt>
                <c:pt idx="324">
                  <c:v>1.1161097016865185E-4</c:v>
                </c:pt>
                <c:pt idx="325">
                  <c:v>2.7125413489970107E-4</c:v>
                </c:pt>
                <c:pt idx="326">
                  <c:v>3.9337685733720207E-4</c:v>
                </c:pt>
                <c:pt idx="327">
                  <c:v>4.7867698546633086E-4</c:v>
                </c:pt>
                <c:pt idx="328">
                  <c:v>5.2783905760311889E-4</c:v>
                </c:pt>
                <c:pt idx="329">
                  <c:v>5.4153445680160672E-4</c:v>
                </c:pt>
                <c:pt idx="330">
                  <c:v>5.2042179946543143E-4</c:v>
                </c:pt>
                <c:pt idx="331">
                  <c:v>4.6514711105860584E-4</c:v>
                </c:pt>
                <c:pt idx="332">
                  <c:v>3.7634415355092266E-4</c:v>
                </c:pt>
                <c:pt idx="333">
                  <c:v>2.5463463911301609E-4</c:v>
                </c:pt>
                <c:pt idx="334">
                  <c:v>1.0062849619441039E-4</c:v>
                </c:pt>
                <c:pt idx="335">
                  <c:v>8.5075903719644685E-5</c:v>
                </c:pt>
                <c:pt idx="336">
                  <c:v>3.0189150353265859E-4</c:v>
                </c:pt>
                <c:pt idx="337">
                  <c:v>5.4924230756681069E-4</c:v>
                </c:pt>
                <c:pt idx="338">
                  <c:v>8.2656318448104393E-4</c:v>
                </c:pt>
                <c:pt idx="339">
                  <c:v>9.2383417745978136E-4</c:v>
                </c:pt>
                <c:pt idx="340">
                  <c:v>6.4183987700316969E-4</c:v>
                </c:pt>
                <c:pt idx="341">
                  <c:v>3.9259377093237013E-4</c:v>
                </c:pt>
                <c:pt idx="342">
                  <c:v>1.75545739930838E-4</c:v>
                </c:pt>
                <c:pt idx="343">
                  <c:v>9.8448238474713179E-6</c:v>
                </c:pt>
                <c:pt idx="344">
                  <c:v>1.6410911887354551E-4</c:v>
                </c:pt>
                <c:pt idx="345">
                  <c:v>2.8776915025652272E-4</c:v>
                </c:pt>
                <c:pt idx="346">
                  <c:v>3.8133793808081684E-4</c:v>
                </c:pt>
                <c:pt idx="347">
                  <c:v>4.453195745248717E-4</c:v>
                </c:pt>
                <c:pt idx="348">
                  <c:v>4.8020950673111074E-4</c:v>
                </c:pt>
                <c:pt idx="349">
                  <c:v>4.8649464886940663E-4</c:v>
                </c:pt>
                <c:pt idx="350">
                  <c:v>4.6465353521818464E-4</c:v>
                </c:pt>
                <c:pt idx="351">
                  <c:v>6.7772774739949249E-4</c:v>
                </c:pt>
                <c:pt idx="352">
                  <c:v>4.3927004566501893E-4</c:v>
                </c:pt>
                <c:pt idx="353">
                  <c:v>7.4770266690227238E-4</c:v>
                </c:pt>
                <c:pt idx="354">
                  <c:v>3.7912725650945944E-4</c:v>
                </c:pt>
                <c:pt idx="355">
                  <c:v>2.6194732044104718E-4</c:v>
                </c:pt>
                <c:pt idx="356">
                  <c:v>2.0404915419192093E-4</c:v>
                </c:pt>
                <c:pt idx="357">
                  <c:v>1.2775370153650378E-4</c:v>
                </c:pt>
                <c:pt idx="358">
                  <c:v>1.6082516554005721E-4</c:v>
                </c:pt>
                <c:pt idx="359">
                  <c:v>3.2004722794298779E-4</c:v>
                </c:pt>
                <c:pt idx="360">
                  <c:v>5.1703985530648922E-4</c:v>
                </c:pt>
                <c:pt idx="361">
                  <c:v>2.3812238641007788E-4</c:v>
                </c:pt>
                <c:pt idx="362">
                  <c:v>7.5308522695660685E-5</c:v>
                </c:pt>
                <c:pt idx="363">
                  <c:v>1.7413721310943764E-4</c:v>
                </c:pt>
                <c:pt idx="364">
                  <c:v>2.8429818170949694E-4</c:v>
                </c:pt>
                <c:pt idx="365">
                  <c:v>2.2090812134067939E-4</c:v>
                </c:pt>
                <c:pt idx="366">
                  <c:v>7.2938763789220928E-5</c:v>
                </c:pt>
                <c:pt idx="367">
                  <c:v>2.1983351433729759E-4</c:v>
                </c:pt>
                <c:pt idx="368">
                  <c:v>4.3826874746422106E-4</c:v>
                </c:pt>
                <c:pt idx="369">
                  <c:v>1.5852352296019667E-4</c:v>
                </c:pt>
                <c:pt idx="370">
                  <c:v>1.5309251278394775E-4</c:v>
                </c:pt>
                <c:pt idx="371">
                  <c:v>3.6318424023740192E-4</c:v>
                </c:pt>
                <c:pt idx="372">
                  <c:v>1.2291911239348252E-4</c:v>
                </c:pt>
                <c:pt idx="373">
                  <c:v>1.7843268895734177E-4</c:v>
                </c:pt>
                <c:pt idx="374">
                  <c:v>4.1248537663296503E-5</c:v>
                </c:pt>
                <c:pt idx="375">
                  <c:v>1.5400166037826679E-4</c:v>
                </c:pt>
                <c:pt idx="376">
                  <c:v>2.7145808507245128E-4</c:v>
                </c:pt>
                <c:pt idx="377">
                  <c:v>1.3758108924299961E-4</c:v>
                </c:pt>
                <c:pt idx="378">
                  <c:v>7.2228659649731242E-5</c:v>
                </c:pt>
                <c:pt idx="379">
                  <c:v>4.8759704379675028E-5</c:v>
                </c:pt>
                <c:pt idx="380">
                  <c:v>5.4117631510308684E-5</c:v>
                </c:pt>
                <c:pt idx="381">
                  <c:v>8.3839798763918338E-5</c:v>
                </c:pt>
                <c:pt idx="382">
                  <c:v>1.3878682644752338E-4</c:v>
                </c:pt>
                <c:pt idx="383">
                  <c:v>1.9745736057630303E-4</c:v>
                </c:pt>
                <c:pt idx="384">
                  <c:v>8.568268992270589E-5</c:v>
                </c:pt>
                <c:pt idx="385">
                  <c:v>7.6030910443058985E-6</c:v>
                </c:pt>
                <c:pt idx="386">
                  <c:v>9.4723277265229555E-5</c:v>
                </c:pt>
                <c:pt idx="387">
                  <c:v>1.2345349401288175E-4</c:v>
                </c:pt>
                <c:pt idx="388">
                  <c:v>8.197426252798401E-5</c:v>
                </c:pt>
                <c:pt idx="389">
                  <c:v>7.214075871120329E-6</c:v>
                </c:pt>
                <c:pt idx="390">
                  <c:v>5.2930383714233642E-5</c:v>
                </c:pt>
                <c:pt idx="391">
                  <c:v>5.0270097157856242E-5</c:v>
                </c:pt>
                <c:pt idx="392">
                  <c:v>5.8921027294989159E-5</c:v>
                </c:pt>
                <c:pt idx="393">
                  <c:v>1.557565927190474E-5</c:v>
                </c:pt>
                <c:pt idx="394">
                  <c:v>3.7779488945455242E-5</c:v>
                </c:pt>
                <c:pt idx="395">
                  <c:v>5.5524175689880551E-5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D1-144C-95C9-87D755990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848864"/>
        <c:axId val="615850512"/>
      </c:lineChart>
      <c:catAx>
        <c:axId val="61584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5850512"/>
        <c:crosses val="autoZero"/>
        <c:auto val="1"/>
        <c:lblAlgn val="ctr"/>
        <c:lblOffset val="100"/>
        <c:noMultiLvlLbl val="0"/>
      </c:catAx>
      <c:valAx>
        <c:axId val="61585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584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Tree &amp;</a:t>
            </a:r>
            <a:r>
              <a:rPr lang="fr-FR" baseline="0"/>
              <a:t> Black-Scholes prices as function of the strike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Strike!$C$2</c:f>
              <c:strCache>
                <c:ptCount val="1"/>
                <c:pt idx="0">
                  <c:v>Trinomial Price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Strike!$B$3:$B$43</c:f>
              <c:numCache>
                <c:formatCode>General</c:formatCode>
                <c:ptCount val="41"/>
                <c:pt idx="0">
                  <c:v>80</c:v>
                </c:pt>
                <c:pt idx="1">
                  <c:v>81</c:v>
                </c:pt>
                <c:pt idx="2">
                  <c:v>82</c:v>
                </c:pt>
                <c:pt idx="3">
                  <c:v>83</c:v>
                </c:pt>
                <c:pt idx="4">
                  <c:v>84</c:v>
                </c:pt>
                <c:pt idx="5">
                  <c:v>85</c:v>
                </c:pt>
                <c:pt idx="6">
                  <c:v>86</c:v>
                </c:pt>
                <c:pt idx="7">
                  <c:v>87</c:v>
                </c:pt>
                <c:pt idx="8">
                  <c:v>88</c:v>
                </c:pt>
                <c:pt idx="9">
                  <c:v>89</c:v>
                </c:pt>
                <c:pt idx="10">
                  <c:v>90</c:v>
                </c:pt>
                <c:pt idx="11">
                  <c:v>91</c:v>
                </c:pt>
                <c:pt idx="12">
                  <c:v>92</c:v>
                </c:pt>
                <c:pt idx="13">
                  <c:v>93</c:v>
                </c:pt>
                <c:pt idx="14">
                  <c:v>94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8">
                  <c:v>98</c:v>
                </c:pt>
                <c:pt idx="19">
                  <c:v>99</c:v>
                </c:pt>
                <c:pt idx="20">
                  <c:v>100</c:v>
                </c:pt>
                <c:pt idx="21">
                  <c:v>101</c:v>
                </c:pt>
                <c:pt idx="22">
                  <c:v>102</c:v>
                </c:pt>
                <c:pt idx="23">
                  <c:v>103</c:v>
                </c:pt>
                <c:pt idx="24">
                  <c:v>104</c:v>
                </c:pt>
                <c:pt idx="25">
                  <c:v>105</c:v>
                </c:pt>
                <c:pt idx="26">
                  <c:v>106</c:v>
                </c:pt>
                <c:pt idx="27">
                  <c:v>107</c:v>
                </c:pt>
                <c:pt idx="28">
                  <c:v>108</c:v>
                </c:pt>
                <c:pt idx="29">
                  <c:v>109</c:v>
                </c:pt>
                <c:pt idx="30">
                  <c:v>110</c:v>
                </c:pt>
                <c:pt idx="31">
                  <c:v>111</c:v>
                </c:pt>
                <c:pt idx="32">
                  <c:v>112</c:v>
                </c:pt>
                <c:pt idx="33">
                  <c:v>113</c:v>
                </c:pt>
                <c:pt idx="34">
                  <c:v>114</c:v>
                </c:pt>
                <c:pt idx="35">
                  <c:v>115</c:v>
                </c:pt>
                <c:pt idx="36">
                  <c:v>116</c:v>
                </c:pt>
                <c:pt idx="37">
                  <c:v>117</c:v>
                </c:pt>
                <c:pt idx="38">
                  <c:v>118</c:v>
                </c:pt>
                <c:pt idx="39">
                  <c:v>119</c:v>
                </c:pt>
                <c:pt idx="40">
                  <c:v>120</c:v>
                </c:pt>
              </c:numCache>
            </c:numRef>
          </c:xVal>
          <c:yVal>
            <c:numRef>
              <c:f>Strike!$C$3:$C$43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52-4FAE-B060-DD528929643E}"/>
            </c:ext>
          </c:extLst>
        </c:ser>
        <c:ser>
          <c:idx val="1"/>
          <c:order val="1"/>
          <c:tx>
            <c:strRef>
              <c:f>Strike!$D$2</c:f>
              <c:strCache>
                <c:ptCount val="1"/>
                <c:pt idx="0">
                  <c:v>Black-Scholes Price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Strike!$B$3:$B$43</c:f>
              <c:numCache>
                <c:formatCode>General</c:formatCode>
                <c:ptCount val="41"/>
                <c:pt idx="0">
                  <c:v>80</c:v>
                </c:pt>
                <c:pt idx="1">
                  <c:v>81</c:v>
                </c:pt>
                <c:pt idx="2">
                  <c:v>82</c:v>
                </c:pt>
                <c:pt idx="3">
                  <c:v>83</c:v>
                </c:pt>
                <c:pt idx="4">
                  <c:v>84</c:v>
                </c:pt>
                <c:pt idx="5">
                  <c:v>85</c:v>
                </c:pt>
                <c:pt idx="6">
                  <c:v>86</c:v>
                </c:pt>
                <c:pt idx="7">
                  <c:v>87</c:v>
                </c:pt>
                <c:pt idx="8">
                  <c:v>88</c:v>
                </c:pt>
                <c:pt idx="9">
                  <c:v>89</c:v>
                </c:pt>
                <c:pt idx="10">
                  <c:v>90</c:v>
                </c:pt>
                <c:pt idx="11">
                  <c:v>91</c:v>
                </c:pt>
                <c:pt idx="12">
                  <c:v>92</c:v>
                </c:pt>
                <c:pt idx="13">
                  <c:v>93</c:v>
                </c:pt>
                <c:pt idx="14">
                  <c:v>94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8">
                  <c:v>98</c:v>
                </c:pt>
                <c:pt idx="19">
                  <c:v>99</c:v>
                </c:pt>
                <c:pt idx="20">
                  <c:v>100</c:v>
                </c:pt>
                <c:pt idx="21">
                  <c:v>101</c:v>
                </c:pt>
                <c:pt idx="22">
                  <c:v>102</c:v>
                </c:pt>
                <c:pt idx="23">
                  <c:v>103</c:v>
                </c:pt>
                <c:pt idx="24">
                  <c:v>104</c:v>
                </c:pt>
                <c:pt idx="25">
                  <c:v>105</c:v>
                </c:pt>
                <c:pt idx="26">
                  <c:v>106</c:v>
                </c:pt>
                <c:pt idx="27">
                  <c:v>107</c:v>
                </c:pt>
                <c:pt idx="28">
                  <c:v>108</c:v>
                </c:pt>
                <c:pt idx="29">
                  <c:v>109</c:v>
                </c:pt>
                <c:pt idx="30">
                  <c:v>110</c:v>
                </c:pt>
                <c:pt idx="31">
                  <c:v>111</c:v>
                </c:pt>
                <c:pt idx="32">
                  <c:v>112</c:v>
                </c:pt>
                <c:pt idx="33">
                  <c:v>113</c:v>
                </c:pt>
                <c:pt idx="34">
                  <c:v>114</c:v>
                </c:pt>
                <c:pt idx="35">
                  <c:v>115</c:v>
                </c:pt>
                <c:pt idx="36">
                  <c:v>116</c:v>
                </c:pt>
                <c:pt idx="37">
                  <c:v>117</c:v>
                </c:pt>
                <c:pt idx="38">
                  <c:v>118</c:v>
                </c:pt>
                <c:pt idx="39">
                  <c:v>119</c:v>
                </c:pt>
                <c:pt idx="40">
                  <c:v>120</c:v>
                </c:pt>
              </c:numCache>
            </c:numRef>
          </c:xVal>
          <c:yVal>
            <c:numRef>
              <c:f>Strike!$D$3:$D$43</c:f>
              <c:numCache>
                <c:formatCode>General</c:formatCode>
                <c:ptCount val="41"/>
                <c:pt idx="0">
                  <c:v>21.389805370699023</c:v>
                </c:pt>
                <c:pt idx="1">
                  <c:v>20.487105471776019</c:v>
                </c:pt>
                <c:pt idx="2">
                  <c:v>19.597156245931554</c:v>
                </c:pt>
                <c:pt idx="3">
                  <c:v>18.721118510398</c:v>
                </c:pt>
                <c:pt idx="4">
                  <c:v>17.860154099715313</c:v>
                </c:pt>
                <c:pt idx="5">
                  <c:v>17.015413070579392</c:v>
                </c:pt>
                <c:pt idx="6">
                  <c:v>16.18802079890423</c:v>
                </c:pt>
                <c:pt idx="7">
                  <c:v>15.379065248633376</c:v>
                </c:pt>
                <c:pt idx="8">
                  <c:v>14.589584682243373</c:v>
                </c:pt>
                <c:pt idx="9">
                  <c:v>13.820556065028782</c:v>
                </c:pt>
                <c:pt idx="10">
                  <c:v>13.072884390270683</c:v>
                </c:pt>
                <c:pt idx="11">
                  <c:v>12.347393121608617</c:v>
                </c:pt>
                <c:pt idx="12">
                  <c:v>11.644815913832552</c:v>
                </c:pt>
                <c:pt idx="13">
                  <c:v>10.965789735408261</c:v>
                </c:pt>
                <c:pt idx="14">
                  <c:v>10.310849476849477</c:v>
                </c:pt>
                <c:pt idx="15">
                  <c:v>9.6804240899676035</c:v>
                </c:pt>
                <c:pt idx="16">
                  <c:v>9.0748342653414582</c:v>
                </c:pt>
                <c:pt idx="17">
                  <c:v>8.4942916201575631</c:v>
                </c:pt>
                <c:pt idx="18">
                  <c:v>7.9388993367710112</c:v>
                </c:pt>
                <c:pt idx="19">
                  <c:v>7.4086541646129174</c:v>
                </c:pt>
                <c:pt idx="20">
                  <c:v>6.9034496748840208</c:v>
                </c:pt>
                <c:pt idx="21">
                  <c:v>6.4230806390845148</c:v>
                </c:pt>
                <c:pt idx="22">
                  <c:v>5.9672483888957499</c:v>
                </c:pt>
                <c:pt idx="23">
                  <c:v>5.5355670061473115</c:v>
                </c:pt>
                <c:pt idx="24">
                  <c:v>5.127570187315591</c:v>
                </c:pt>
                <c:pt idx="25">
                  <c:v>4.742718626843816</c:v>
                </c:pt>
                <c:pt idx="26">
                  <c:v>4.3804077670907375</c:v>
                </c:pt>
                <c:pt idx="27">
                  <c:v>4.0399757693938563</c:v>
                </c:pt>
                <c:pt idx="28">
                  <c:v>3.7207115700269631</c:v>
                </c:pt>
                <c:pt idx="29">
                  <c:v>3.4218628961862541</c:v>
                </c:pt>
                <c:pt idx="30">
                  <c:v>3.1426441300109471</c:v>
                </c:pt>
                <c:pt idx="31">
                  <c:v>2.8822439225180903</c:v>
                </c:pt>
                <c:pt idx="32">
                  <c:v>2.6398324737322842</c:v>
                </c:pt>
                <c:pt idx="33">
                  <c:v>2.4145684097950331</c:v>
                </c:pt>
                <c:pt idx="34">
                  <c:v>2.2056052020780323</c:v>
                </c:pt>
                <c:pt idx="35">
                  <c:v>2.012097086990277</c:v>
                </c:pt>
                <c:pt idx="36">
                  <c:v>1.8332044580125852</c:v>
                </c:pt>
                <c:pt idx="37">
                  <c:v>1.6680987133238776</c:v>
                </c:pt>
                <c:pt idx="38">
                  <c:v>1.5159665530656785</c:v>
                </c:pt>
                <c:pt idx="39">
                  <c:v>1.3760137297392587</c:v>
                </c:pt>
                <c:pt idx="40">
                  <c:v>1.2474682634028247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52-4FAE-B060-DD5289296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36224"/>
        <c:axId val="264439968"/>
      </c:scatterChart>
      <c:scatterChart>
        <c:scatterStyle val="lineMarker"/>
        <c:varyColors val="0"/>
        <c:ser>
          <c:idx val="2"/>
          <c:order val="2"/>
          <c:tx>
            <c:strRef>
              <c:f>Strike!$E$2</c:f>
              <c:strCache>
                <c:ptCount val="1"/>
                <c:pt idx="0">
                  <c:v>Tree - BS</c:v>
                </c:pt>
              </c:strCache>
            </c:strRef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Strike!$B$3:$B$43</c:f>
              <c:numCache>
                <c:formatCode>General</c:formatCode>
                <c:ptCount val="41"/>
                <c:pt idx="0">
                  <c:v>80</c:v>
                </c:pt>
                <c:pt idx="1">
                  <c:v>81</c:v>
                </c:pt>
                <c:pt idx="2">
                  <c:v>82</c:v>
                </c:pt>
                <c:pt idx="3">
                  <c:v>83</c:v>
                </c:pt>
                <c:pt idx="4">
                  <c:v>84</c:v>
                </c:pt>
                <c:pt idx="5">
                  <c:v>85</c:v>
                </c:pt>
                <c:pt idx="6">
                  <c:v>86</c:v>
                </c:pt>
                <c:pt idx="7">
                  <c:v>87</c:v>
                </c:pt>
                <c:pt idx="8">
                  <c:v>88</c:v>
                </c:pt>
                <c:pt idx="9">
                  <c:v>89</c:v>
                </c:pt>
                <c:pt idx="10">
                  <c:v>90</c:v>
                </c:pt>
                <c:pt idx="11">
                  <c:v>91</c:v>
                </c:pt>
                <c:pt idx="12">
                  <c:v>92</c:v>
                </c:pt>
                <c:pt idx="13">
                  <c:v>93</c:v>
                </c:pt>
                <c:pt idx="14">
                  <c:v>94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8">
                  <c:v>98</c:v>
                </c:pt>
                <c:pt idx="19">
                  <c:v>99</c:v>
                </c:pt>
                <c:pt idx="20">
                  <c:v>100</c:v>
                </c:pt>
                <c:pt idx="21">
                  <c:v>101</c:v>
                </c:pt>
                <c:pt idx="22">
                  <c:v>102</c:v>
                </c:pt>
                <c:pt idx="23">
                  <c:v>103</c:v>
                </c:pt>
                <c:pt idx="24">
                  <c:v>104</c:v>
                </c:pt>
                <c:pt idx="25">
                  <c:v>105</c:v>
                </c:pt>
                <c:pt idx="26">
                  <c:v>106</c:v>
                </c:pt>
                <c:pt idx="27">
                  <c:v>107</c:v>
                </c:pt>
                <c:pt idx="28">
                  <c:v>108</c:v>
                </c:pt>
                <c:pt idx="29">
                  <c:v>109</c:v>
                </c:pt>
                <c:pt idx="30">
                  <c:v>110</c:v>
                </c:pt>
                <c:pt idx="31">
                  <c:v>111</c:v>
                </c:pt>
                <c:pt idx="32">
                  <c:v>112</c:v>
                </c:pt>
                <c:pt idx="33">
                  <c:v>113</c:v>
                </c:pt>
                <c:pt idx="34">
                  <c:v>114</c:v>
                </c:pt>
                <c:pt idx="35">
                  <c:v>115</c:v>
                </c:pt>
                <c:pt idx="36">
                  <c:v>116</c:v>
                </c:pt>
                <c:pt idx="37">
                  <c:v>117</c:v>
                </c:pt>
                <c:pt idx="38">
                  <c:v>118</c:v>
                </c:pt>
                <c:pt idx="39">
                  <c:v>119</c:v>
                </c:pt>
                <c:pt idx="40">
                  <c:v>120</c:v>
                </c:pt>
              </c:numCache>
            </c:numRef>
          </c:xVal>
          <c:yVal>
            <c:numRef>
              <c:f>Strike!$E$3:$E$43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52-4FAE-B060-DD528929643E}"/>
            </c:ext>
          </c:extLst>
        </c:ser>
        <c:ser>
          <c:idx val="3"/>
          <c:order val="3"/>
          <c:tx>
            <c:strRef>
              <c:f>Strike!$F$2</c:f>
              <c:strCache>
                <c:ptCount val="1"/>
                <c:pt idx="0">
                  <c:v>Pente Trino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Strike!$B$3:$B$43</c:f>
              <c:numCache>
                <c:formatCode>General</c:formatCode>
                <c:ptCount val="41"/>
                <c:pt idx="0">
                  <c:v>80</c:v>
                </c:pt>
                <c:pt idx="1">
                  <c:v>81</c:v>
                </c:pt>
                <c:pt idx="2">
                  <c:v>82</c:v>
                </c:pt>
                <c:pt idx="3">
                  <c:v>83</c:v>
                </c:pt>
                <c:pt idx="4">
                  <c:v>84</c:v>
                </c:pt>
                <c:pt idx="5">
                  <c:v>85</c:v>
                </c:pt>
                <c:pt idx="6">
                  <c:v>86</c:v>
                </c:pt>
                <c:pt idx="7">
                  <c:v>87</c:v>
                </c:pt>
                <c:pt idx="8">
                  <c:v>88</c:v>
                </c:pt>
                <c:pt idx="9">
                  <c:v>89</c:v>
                </c:pt>
                <c:pt idx="10">
                  <c:v>90</c:v>
                </c:pt>
                <c:pt idx="11">
                  <c:v>91</c:v>
                </c:pt>
                <c:pt idx="12">
                  <c:v>92</c:v>
                </c:pt>
                <c:pt idx="13">
                  <c:v>93</c:v>
                </c:pt>
                <c:pt idx="14">
                  <c:v>94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8">
                  <c:v>98</c:v>
                </c:pt>
                <c:pt idx="19">
                  <c:v>99</c:v>
                </c:pt>
                <c:pt idx="20">
                  <c:v>100</c:v>
                </c:pt>
                <c:pt idx="21">
                  <c:v>101</c:v>
                </c:pt>
                <c:pt idx="22">
                  <c:v>102</c:v>
                </c:pt>
                <c:pt idx="23">
                  <c:v>103</c:v>
                </c:pt>
                <c:pt idx="24">
                  <c:v>104</c:v>
                </c:pt>
                <c:pt idx="25">
                  <c:v>105</c:v>
                </c:pt>
                <c:pt idx="26">
                  <c:v>106</c:v>
                </c:pt>
                <c:pt idx="27">
                  <c:v>107</c:v>
                </c:pt>
                <c:pt idx="28">
                  <c:v>108</c:v>
                </c:pt>
                <c:pt idx="29">
                  <c:v>109</c:v>
                </c:pt>
                <c:pt idx="30">
                  <c:v>110</c:v>
                </c:pt>
                <c:pt idx="31">
                  <c:v>111</c:v>
                </c:pt>
                <c:pt idx="32">
                  <c:v>112</c:v>
                </c:pt>
                <c:pt idx="33">
                  <c:v>113</c:v>
                </c:pt>
                <c:pt idx="34">
                  <c:v>114</c:v>
                </c:pt>
                <c:pt idx="35">
                  <c:v>115</c:v>
                </c:pt>
                <c:pt idx="36">
                  <c:v>116</c:v>
                </c:pt>
                <c:pt idx="37">
                  <c:v>117</c:v>
                </c:pt>
                <c:pt idx="38">
                  <c:v>118</c:v>
                </c:pt>
                <c:pt idx="39">
                  <c:v>119</c:v>
                </c:pt>
                <c:pt idx="40">
                  <c:v>120</c:v>
                </c:pt>
              </c:numCache>
            </c:numRef>
          </c:xVal>
          <c:yVal>
            <c:numRef>
              <c:f>Strike!$F$3:$F$43</c:f>
              <c:numCache>
                <c:formatCode>General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52-4FAE-B060-DD528929643E}"/>
            </c:ext>
          </c:extLst>
        </c:ser>
        <c:ser>
          <c:idx val="4"/>
          <c:order val="4"/>
          <c:tx>
            <c:strRef>
              <c:f>Strike!$G$2</c:f>
              <c:strCache>
                <c:ptCount val="1"/>
                <c:pt idx="0">
                  <c:v>Pente BS</c:v>
                </c:pt>
              </c:strCache>
            </c:strRef>
          </c:tx>
          <c:spPr>
            <a:ln w="22225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Strike!$B$3:$B$43</c:f>
              <c:numCache>
                <c:formatCode>General</c:formatCode>
                <c:ptCount val="41"/>
                <c:pt idx="0">
                  <c:v>80</c:v>
                </c:pt>
                <c:pt idx="1">
                  <c:v>81</c:v>
                </c:pt>
                <c:pt idx="2">
                  <c:v>82</c:v>
                </c:pt>
                <c:pt idx="3">
                  <c:v>83</c:v>
                </c:pt>
                <c:pt idx="4">
                  <c:v>84</c:v>
                </c:pt>
                <c:pt idx="5">
                  <c:v>85</c:v>
                </c:pt>
                <c:pt idx="6">
                  <c:v>86</c:v>
                </c:pt>
                <c:pt idx="7">
                  <c:v>87</c:v>
                </c:pt>
                <c:pt idx="8">
                  <c:v>88</c:v>
                </c:pt>
                <c:pt idx="9">
                  <c:v>89</c:v>
                </c:pt>
                <c:pt idx="10">
                  <c:v>90</c:v>
                </c:pt>
                <c:pt idx="11">
                  <c:v>91</c:v>
                </c:pt>
                <c:pt idx="12">
                  <c:v>92</c:v>
                </c:pt>
                <c:pt idx="13">
                  <c:v>93</c:v>
                </c:pt>
                <c:pt idx="14">
                  <c:v>94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8">
                  <c:v>98</c:v>
                </c:pt>
                <c:pt idx="19">
                  <c:v>99</c:v>
                </c:pt>
                <c:pt idx="20">
                  <c:v>100</c:v>
                </c:pt>
                <c:pt idx="21">
                  <c:v>101</c:v>
                </c:pt>
                <c:pt idx="22">
                  <c:v>102</c:v>
                </c:pt>
                <c:pt idx="23">
                  <c:v>103</c:v>
                </c:pt>
                <c:pt idx="24">
                  <c:v>104</c:v>
                </c:pt>
                <c:pt idx="25">
                  <c:v>105</c:v>
                </c:pt>
                <c:pt idx="26">
                  <c:v>106</c:v>
                </c:pt>
                <c:pt idx="27">
                  <c:v>107</c:v>
                </c:pt>
                <c:pt idx="28">
                  <c:v>108</c:v>
                </c:pt>
                <c:pt idx="29">
                  <c:v>109</c:v>
                </c:pt>
                <c:pt idx="30">
                  <c:v>110</c:v>
                </c:pt>
                <c:pt idx="31">
                  <c:v>111</c:v>
                </c:pt>
                <c:pt idx="32">
                  <c:v>112</c:v>
                </c:pt>
                <c:pt idx="33">
                  <c:v>113</c:v>
                </c:pt>
                <c:pt idx="34">
                  <c:v>114</c:v>
                </c:pt>
                <c:pt idx="35">
                  <c:v>115</c:v>
                </c:pt>
                <c:pt idx="36">
                  <c:v>116</c:v>
                </c:pt>
                <c:pt idx="37">
                  <c:v>117</c:v>
                </c:pt>
                <c:pt idx="38">
                  <c:v>118</c:v>
                </c:pt>
                <c:pt idx="39">
                  <c:v>119</c:v>
                </c:pt>
                <c:pt idx="40">
                  <c:v>120</c:v>
                </c:pt>
              </c:numCache>
            </c:numRef>
          </c:xVal>
          <c:yVal>
            <c:numRef>
              <c:f>Strike!$G$3:$G$43</c:f>
              <c:numCache>
                <c:formatCode>General</c:formatCode>
                <c:ptCount val="41"/>
                <c:pt idx="1">
                  <c:v>-0.90269989892300373</c:v>
                </c:pt>
                <c:pt idx="2">
                  <c:v>-0.88994922584446456</c:v>
                </c:pt>
                <c:pt idx="3">
                  <c:v>-0.87603773553355424</c:v>
                </c:pt>
                <c:pt idx="4">
                  <c:v>-0.86096441068268703</c:v>
                </c:pt>
                <c:pt idx="5">
                  <c:v>-0.8447410291359212</c:v>
                </c:pt>
                <c:pt idx="6">
                  <c:v>-0.82739227167516205</c:v>
                </c:pt>
                <c:pt idx="7">
                  <c:v>-0.80895555027085386</c:v>
                </c:pt>
                <c:pt idx="8">
                  <c:v>-0.78948056639000264</c:v>
                </c:pt>
                <c:pt idx="9">
                  <c:v>-0.76902861721459104</c:v>
                </c:pt>
                <c:pt idx="10">
                  <c:v>-0.7476716747580987</c:v>
                </c:pt>
                <c:pt idx="11">
                  <c:v>-0.7254912686620667</c:v>
                </c:pt>
                <c:pt idx="12">
                  <c:v>-0.70257720777606458</c:v>
                </c:pt>
                <c:pt idx="13">
                  <c:v>-0.6790261784242908</c:v>
                </c:pt>
                <c:pt idx="14">
                  <c:v>-0.6549402585587849</c:v>
                </c:pt>
                <c:pt idx="15">
                  <c:v>-0.630425386881873</c:v>
                </c:pt>
                <c:pt idx="16">
                  <c:v>-0.6055898246261453</c:v>
                </c:pt>
                <c:pt idx="17">
                  <c:v>-0.58054264518389509</c:v>
                </c:pt>
                <c:pt idx="18">
                  <c:v>-0.55539228338655189</c:v>
                </c:pt>
                <c:pt idx="19">
                  <c:v>-0.53024517215809386</c:v>
                </c:pt>
                <c:pt idx="20">
                  <c:v>-0.50520448972889653</c:v>
                </c:pt>
                <c:pt idx="21">
                  <c:v>-0.48036903579950607</c:v>
                </c:pt>
                <c:pt idx="22">
                  <c:v>-0.45583225018876483</c:v>
                </c:pt>
                <c:pt idx="23">
                  <c:v>-0.43168138274843848</c:v>
                </c:pt>
                <c:pt idx="24">
                  <c:v>-0.40799681883172045</c:v>
                </c:pt>
                <c:pt idx="25">
                  <c:v>-0.38485156047177504</c:v>
                </c:pt>
                <c:pt idx="26">
                  <c:v>-0.36231085975307842</c:v>
                </c:pt>
                <c:pt idx="27">
                  <c:v>-0.34043199769688126</c:v>
                </c:pt>
                <c:pt idx="28">
                  <c:v>-0.31926419936689321</c:v>
                </c:pt>
                <c:pt idx="29">
                  <c:v>-0.29884867384070901</c:v>
                </c:pt>
                <c:pt idx="30">
                  <c:v>-0.27921876617530694</c:v>
                </c:pt>
                <c:pt idx="31">
                  <c:v>-0.26040020749285686</c:v>
                </c:pt>
                <c:pt idx="32">
                  <c:v>-0.24241144878580601</c:v>
                </c:pt>
                <c:pt idx="33">
                  <c:v>-0.22526406393725118</c:v>
                </c:pt>
                <c:pt idx="34">
                  <c:v>-0.20896320771700072</c:v>
                </c:pt>
                <c:pt idx="35">
                  <c:v>-0.19350811508775534</c:v>
                </c:pt>
                <c:pt idx="36">
                  <c:v>-0.17889262897769176</c:v>
                </c:pt>
                <c:pt idx="37">
                  <c:v>-0.16510574468870765</c:v>
                </c:pt>
                <c:pt idx="38">
                  <c:v>-0.15213216025819909</c:v>
                </c:pt>
                <c:pt idx="39">
                  <c:v>-0.13995282332641978</c:v>
                </c:pt>
                <c:pt idx="40">
                  <c:v>-0.12854546633643404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752-4FAE-B060-DD5289296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55744"/>
        <c:axId val="15196032"/>
      </c:scatterChart>
      <c:valAx>
        <c:axId val="264436224"/>
        <c:scaling>
          <c:orientation val="minMax"/>
          <c:max val="121"/>
          <c:min val="79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64439968"/>
        <c:crosses val="autoZero"/>
        <c:crossBetween val="midCat"/>
      </c:valAx>
      <c:valAx>
        <c:axId val="26443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64436224"/>
        <c:crosses val="autoZero"/>
        <c:crossBetween val="midCat"/>
      </c:valAx>
      <c:valAx>
        <c:axId val="151960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6155744"/>
        <c:crosses val="max"/>
        <c:crossBetween val="midCat"/>
      </c:valAx>
      <c:valAx>
        <c:axId val="216155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196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406400</xdr:colOff>
          <xdr:row>18</xdr:row>
          <xdr:rowOff>101600</xdr:rowOff>
        </xdr:from>
        <xdr:to>
          <xdr:col>4</xdr:col>
          <xdr:colOff>406400</xdr:colOff>
          <xdr:row>19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389466</xdr:colOff>
      <xdr:row>8</xdr:row>
      <xdr:rowOff>76202</xdr:rowOff>
    </xdr:from>
    <xdr:ext cx="7474676" cy="2723551"/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666" y="1617135"/>
          <a:ext cx="7474676" cy="2723551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1</xdr:row>
          <xdr:rowOff>12700</xdr:rowOff>
        </xdr:from>
        <xdr:to>
          <xdr:col>2</xdr:col>
          <xdr:colOff>812800</xdr:colOff>
          <xdr:row>4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Calc. Number of Steps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561108</xdr:colOff>
      <xdr:row>1</xdr:row>
      <xdr:rowOff>138545</xdr:rowOff>
    </xdr:from>
    <xdr:to>
      <xdr:col>20</xdr:col>
      <xdr:colOff>69271</xdr:colOff>
      <xdr:row>31</xdr:row>
      <xdr:rowOff>110836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554181</xdr:colOff>
      <xdr:row>32</xdr:row>
      <xdr:rowOff>138544</xdr:rowOff>
    </xdr:from>
    <xdr:to>
      <xdr:col>20</xdr:col>
      <xdr:colOff>92363</xdr:colOff>
      <xdr:row>57</xdr:row>
      <xdr:rowOff>23090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517813</xdr:colOff>
      <xdr:row>2</xdr:row>
      <xdr:rowOff>25977</xdr:rowOff>
    </xdr:from>
    <xdr:to>
      <xdr:col>25</xdr:col>
      <xdr:colOff>781050</xdr:colOff>
      <xdr:row>37</xdr:row>
      <xdr:rowOff>171450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enoit Bordachar" id="{3F66C058-F211-6240-A6F6-258716E0802F}" userId="S::benoit.bordachar@dauphine.eu::9f75fcf7-6480-4f47-ae8d-87427dfea1ad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7" dT="2022-12-13T18:00:58.34" personId="{3F66C058-F211-6240-A6F6-258716E0802F}" id="{F673EEE2-AA28-204C-8A53-91E19F4660CC}">
    <text>=BlackScholesCall(Start_price;Strike;Volatility;Interest_rate;Dividend;(Maturity-Start_date)/365)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en.wikipedia.org/wiki/Black%E2%80%93Scholes_mode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37A92-AC74-4F42-A8A5-14C1E827112D}">
  <sheetPr codeName="Sheet1">
    <tabColor rgb="FFC00000"/>
  </sheetPr>
  <dimension ref="C1:F24"/>
  <sheetViews>
    <sheetView showGridLines="0" tabSelected="1" zoomScaleNormal="100" zoomScaleSheetLayoutView="100" workbookViewId="0">
      <selection activeCell="F19" sqref="F19"/>
    </sheetView>
  </sheetViews>
  <sheetFormatPr baseColWidth="10" defaultColWidth="9.1640625" defaultRowHeight="15" x14ac:dyDescent="0.2"/>
  <cols>
    <col min="1" max="1" width="14.33203125" customWidth="1"/>
    <col min="2" max="2" width="0.83203125" customWidth="1"/>
    <col min="3" max="3" width="3.5" customWidth="1"/>
    <col min="4" max="4" width="9.1640625" style="1"/>
    <col min="5" max="5" width="21" style="2" customWidth="1"/>
    <col min="6" max="6" width="19.33203125" customWidth="1"/>
    <col min="7" max="7" width="1" customWidth="1"/>
    <col min="8" max="8" width="11.83203125" bestFit="1" customWidth="1"/>
  </cols>
  <sheetData>
    <row r="1" spans="3:6" ht="24.5" customHeight="1" x14ac:dyDescent="0.2"/>
    <row r="2" spans="3:6" ht="4.75" customHeight="1" x14ac:dyDescent="0.2"/>
    <row r="3" spans="3:6" x14ac:dyDescent="0.2">
      <c r="C3" s="65" t="s">
        <v>16</v>
      </c>
      <c r="D3" s="59" t="s">
        <v>0</v>
      </c>
      <c r="E3" s="3" t="s">
        <v>1</v>
      </c>
      <c r="F3" s="13">
        <v>44833</v>
      </c>
    </row>
    <row r="4" spans="3:6" x14ac:dyDescent="0.2">
      <c r="C4" s="66"/>
      <c r="D4" s="60"/>
      <c r="E4" s="4" t="s">
        <v>2</v>
      </c>
      <c r="F4" s="18">
        <v>100</v>
      </c>
    </row>
    <row r="5" spans="3:6" x14ac:dyDescent="0.2">
      <c r="C5" s="66"/>
      <c r="D5" s="60"/>
      <c r="E5" s="4" t="s">
        <v>3</v>
      </c>
      <c r="F5" s="16">
        <v>0.03</v>
      </c>
    </row>
    <row r="6" spans="3:6" x14ac:dyDescent="0.2">
      <c r="C6" s="66"/>
      <c r="D6" s="60"/>
      <c r="E6" s="4" t="s">
        <v>4</v>
      </c>
      <c r="F6" s="16">
        <v>0.25</v>
      </c>
    </row>
    <row r="7" spans="3:6" x14ac:dyDescent="0.2">
      <c r="C7" s="66"/>
      <c r="D7" s="60"/>
      <c r="E7" s="4" t="s">
        <v>5</v>
      </c>
      <c r="F7" s="17">
        <v>0</v>
      </c>
    </row>
    <row r="8" spans="3:6" x14ac:dyDescent="0.2">
      <c r="C8" s="66"/>
      <c r="D8" s="61"/>
      <c r="E8" s="5" t="s">
        <v>6</v>
      </c>
      <c r="F8" s="14">
        <v>44980</v>
      </c>
    </row>
    <row r="9" spans="3:6" x14ac:dyDescent="0.2">
      <c r="C9" s="66"/>
      <c r="D9" s="62" t="s">
        <v>8</v>
      </c>
      <c r="E9" s="6" t="s">
        <v>7</v>
      </c>
      <c r="F9" s="15">
        <v>44980</v>
      </c>
    </row>
    <row r="10" spans="3:6" x14ac:dyDescent="0.2">
      <c r="C10" s="66"/>
      <c r="D10" s="63"/>
      <c r="E10" s="7" t="s">
        <v>9</v>
      </c>
      <c r="F10" s="26" t="s">
        <v>17</v>
      </c>
    </row>
    <row r="11" spans="3:6" x14ac:dyDescent="0.2">
      <c r="C11" s="66"/>
      <c r="D11" s="63"/>
      <c r="E11" s="7" t="s">
        <v>10</v>
      </c>
      <c r="F11" s="26" t="s">
        <v>29</v>
      </c>
    </row>
    <row r="12" spans="3:6" x14ac:dyDescent="0.2">
      <c r="C12" s="66"/>
      <c r="D12" s="64"/>
      <c r="E12" s="8" t="s">
        <v>11</v>
      </c>
      <c r="F12" s="19">
        <v>93</v>
      </c>
    </row>
    <row r="13" spans="3:6" x14ac:dyDescent="0.2">
      <c r="C13" s="66"/>
      <c r="D13" s="68" t="s">
        <v>12</v>
      </c>
      <c r="E13" s="24" t="s">
        <v>20</v>
      </c>
      <c r="F13" s="25" t="s">
        <v>21</v>
      </c>
    </row>
    <row r="14" spans="3:6" x14ac:dyDescent="0.2">
      <c r="C14" s="67"/>
      <c r="D14" s="69"/>
      <c r="E14" s="23" t="s">
        <v>18</v>
      </c>
      <c r="F14" s="27">
        <v>10</v>
      </c>
    </row>
    <row r="16" spans="3:6" ht="14.5" customHeight="1" x14ac:dyDescent="0.2">
      <c r="C16" s="65" t="s">
        <v>36</v>
      </c>
      <c r="D16" s="70" t="s">
        <v>13</v>
      </c>
      <c r="E16" s="10" t="s">
        <v>14</v>
      </c>
      <c r="F16" s="21"/>
    </row>
    <row r="17" spans="3:6" x14ac:dyDescent="0.2">
      <c r="C17" s="66"/>
      <c r="D17" s="71"/>
      <c r="E17" s="11" t="s">
        <v>19</v>
      </c>
      <c r="F17" s="9"/>
    </row>
    <row r="18" spans="3:6" x14ac:dyDescent="0.2">
      <c r="C18" s="66"/>
      <c r="D18" s="71"/>
      <c r="E18" s="11" t="s">
        <v>38</v>
      </c>
      <c r="F18" s="9" t="e" cm="1">
        <f t="array" aca="1" ref="F18" ca="1">pricer_trino(Interest_rate,Volatility,Dividend,Div_ex_date,Price,Strike,Start_date,Maturity,Type,Exercise,Nb_steps)</f>
        <v>#NAME?</v>
      </c>
    </row>
    <row r="19" spans="3:6" x14ac:dyDescent="0.2">
      <c r="C19" s="66"/>
      <c r="D19" s="71"/>
      <c r="E19" s="11" t="s">
        <v>37</v>
      </c>
      <c r="F19" s="20"/>
    </row>
    <row r="20" spans="3:6" x14ac:dyDescent="0.2">
      <c r="C20" s="67"/>
      <c r="D20" s="72"/>
      <c r="E20" s="12" t="s">
        <v>15</v>
      </c>
      <c r="F20" s="22"/>
    </row>
    <row r="21" spans="3:6" ht="3" customHeight="1" x14ac:dyDescent="0.2"/>
    <row r="24" spans="3:6" x14ac:dyDescent="0.2">
      <c r="F24" s="2"/>
    </row>
  </sheetData>
  <mergeCells count="6">
    <mergeCell ref="D3:D8"/>
    <mergeCell ref="D9:D12"/>
    <mergeCell ref="C3:C14"/>
    <mergeCell ref="D13:D14"/>
    <mergeCell ref="C16:C20"/>
    <mergeCell ref="D16:D20"/>
  </mergeCells>
  <dataValidations count="3">
    <dataValidation type="list" allowBlank="1" showInputMessage="1" showErrorMessage="1" sqref="F10" xr:uid="{86EB6368-A22F-438F-A96F-EBF28D27B95A}">
      <formula1>"Call,Put"</formula1>
    </dataValidation>
    <dataValidation type="list" allowBlank="1" showInputMessage="1" showErrorMessage="1" sqref="F11" xr:uid="{A3304C8C-39E8-45A8-BB79-C9E21A252376}">
      <formula1>"European, American"</formula1>
    </dataValidation>
    <dataValidation type="list" allowBlank="1" showInputMessage="1" showErrorMessage="1" sqref="F13" xr:uid="{078C7F6D-F32A-4D02-9891-FB568F820074}">
      <formula1>"True, False"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TrinomialPricer">
                <anchor moveWithCells="1" sizeWithCells="1">
                  <from>
                    <xdr:col>3</xdr:col>
                    <xdr:colOff>406400</xdr:colOff>
                    <xdr:row>18</xdr:row>
                    <xdr:rowOff>101600</xdr:rowOff>
                  </from>
                  <to>
                    <xdr:col>4</xdr:col>
                    <xdr:colOff>406400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FD449-E9EB-6D42-A4B3-FAB7A2642D6D}">
  <sheetPr codeName="Feuil3">
    <tabColor rgb="FF0070C0"/>
  </sheetPr>
  <dimension ref="A1:L26"/>
  <sheetViews>
    <sheetView zoomScale="83" workbookViewId="0">
      <selection activeCell="C32" sqref="C32"/>
    </sheetView>
  </sheetViews>
  <sheetFormatPr baseColWidth="10" defaultColWidth="11.33203125" defaultRowHeight="13" x14ac:dyDescent="0.15"/>
  <cols>
    <col min="1" max="1" width="12.6640625" style="38" customWidth="1"/>
    <col min="2" max="4" width="12.1640625" style="38" customWidth="1"/>
    <col min="5" max="5" width="15.33203125" style="38" customWidth="1"/>
    <col min="6" max="6" width="17.5" style="38" customWidth="1"/>
    <col min="7" max="7" width="11.83203125" style="38" bestFit="1" customWidth="1"/>
    <col min="8" max="8" width="13.5" style="38" customWidth="1"/>
    <col min="9" max="16" width="12.1640625" style="38" customWidth="1"/>
    <col min="17" max="16384" width="11.33203125" style="38"/>
  </cols>
  <sheetData>
    <row r="1" spans="1:12" ht="18" x14ac:dyDescent="0.2">
      <c r="A1" s="73" t="s">
        <v>68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</row>
    <row r="3" spans="1:12" ht="14" x14ac:dyDescent="0.15">
      <c r="A3" s="42" t="s">
        <v>67</v>
      </c>
      <c r="E3" s="42" t="s">
        <v>0</v>
      </c>
      <c r="H3" s="42" t="s">
        <v>66</v>
      </c>
      <c r="I3" s="57"/>
    </row>
    <row r="4" spans="1:12" x14ac:dyDescent="0.15">
      <c r="A4" s="40" t="s">
        <v>65</v>
      </c>
      <c r="B4" s="56" t="s">
        <v>17</v>
      </c>
      <c r="C4" s="56" t="s">
        <v>39</v>
      </c>
      <c r="E4" s="40" t="s">
        <v>64</v>
      </c>
      <c r="F4" s="55">
        <f>Price</f>
        <v>100</v>
      </c>
      <c r="H4" s="40" t="s">
        <v>63</v>
      </c>
      <c r="I4" s="52">
        <f>Start_date</f>
        <v>44833</v>
      </c>
    </row>
    <row r="5" spans="1:12" ht="16" x14ac:dyDescent="0.2">
      <c r="A5" s="40" t="s">
        <v>62</v>
      </c>
      <c r="B5" s="55">
        <f>Strike</f>
        <v>93</v>
      </c>
      <c r="C5" s="54">
        <f>Strike</f>
        <v>93</v>
      </c>
      <c r="D5" s="38" t="s">
        <v>61</v>
      </c>
      <c r="E5" s="40" t="s">
        <v>60</v>
      </c>
      <c r="F5" s="47">
        <f>Volatility</f>
        <v>0.25</v>
      </c>
      <c r="G5" s="38" t="s">
        <v>59</v>
      </c>
      <c r="H5" s="40" t="s">
        <v>58</v>
      </c>
      <c r="I5" s="53">
        <v>252</v>
      </c>
    </row>
    <row r="6" spans="1:12" ht="16" x14ac:dyDescent="0.2">
      <c r="A6" s="40" t="s">
        <v>57</v>
      </c>
      <c r="B6" s="52">
        <f>Maturity</f>
        <v>44980</v>
      </c>
      <c r="C6" s="51">
        <f>B6</f>
        <v>44980</v>
      </c>
      <c r="E6" s="40" t="s">
        <v>56</v>
      </c>
      <c r="F6" s="47">
        <f>Interest_rate</f>
        <v>0.03</v>
      </c>
      <c r="G6" s="38" t="s">
        <v>52</v>
      </c>
    </row>
    <row r="7" spans="1:12" ht="16" x14ac:dyDescent="0.2">
      <c r="A7" s="50" t="s">
        <v>55</v>
      </c>
      <c r="B7" s="49">
        <f>(B6-I4)/365</f>
        <v>0.40273972602739727</v>
      </c>
      <c r="C7" s="49">
        <f>B7</f>
        <v>0.40273972602739727</v>
      </c>
      <c r="D7" s="48" t="s">
        <v>54</v>
      </c>
      <c r="E7" s="40" t="s">
        <v>53</v>
      </c>
      <c r="F7" s="47">
        <v>0</v>
      </c>
      <c r="G7" s="38" t="s">
        <v>52</v>
      </c>
      <c r="H7" s="46" t="s">
        <v>51</v>
      </c>
      <c r="K7" s="41"/>
    </row>
    <row r="8" spans="1:12" x14ac:dyDescent="0.15">
      <c r="G8" s="45"/>
    </row>
    <row r="9" spans="1:12" ht="15" x14ac:dyDescent="0.2">
      <c r="B9" s="58"/>
      <c r="C9" s="58"/>
      <c r="E9" s="44"/>
    </row>
    <row r="10" spans="1:12" ht="15" x14ac:dyDescent="0.2">
      <c r="B10" s="58"/>
      <c r="C10" s="58"/>
    </row>
    <row r="11" spans="1:12" ht="15" x14ac:dyDescent="0.2">
      <c r="A11" s="58"/>
      <c r="B11" s="40" t="s">
        <v>50</v>
      </c>
      <c r="C11" s="43">
        <f>forward(F4, F6, F7, Time)</f>
        <v>101.21554763084353</v>
      </c>
    </row>
    <row r="12" spans="1:12" ht="15" x14ac:dyDescent="0.2">
      <c r="A12" s="58"/>
      <c r="B12" s="40" t="s">
        <v>49</v>
      </c>
      <c r="C12" s="43">
        <f>function_d1(Price, Strike, Volatility, F6, F7, Time)</f>
        <v>0.61289490587080986</v>
      </c>
    </row>
    <row r="13" spans="1:12" ht="15" x14ac:dyDescent="0.2">
      <c r="A13" s="58"/>
      <c r="B13" s="40" t="s">
        <v>48</v>
      </c>
      <c r="C13" s="43">
        <f>function_d2(Price, Strike, F5, F6, F7, Time)</f>
        <v>0.45424046100174126</v>
      </c>
    </row>
    <row r="14" spans="1:12" ht="15" x14ac:dyDescent="0.2">
      <c r="A14" s="58"/>
    </row>
    <row r="15" spans="1:12" ht="15" x14ac:dyDescent="0.2">
      <c r="A15" s="58"/>
      <c r="C15" s="42" t="s">
        <v>17</v>
      </c>
      <c r="D15" s="42" t="s">
        <v>39</v>
      </c>
    </row>
    <row r="16" spans="1:12" ht="15" x14ac:dyDescent="0.2">
      <c r="A16" s="58"/>
      <c r="B16" s="40" t="s">
        <v>47</v>
      </c>
      <c r="C16" s="39">
        <f>BlackScholesCall(Price, Strike, F5, F6, F7, Time)</f>
        <v>10.965789735408261</v>
      </c>
      <c r="D16" s="39">
        <f>BlackScholesPut(Price, Strike, F5, F6, F7, Time)</f>
        <v>2.8489066841921296</v>
      </c>
    </row>
    <row r="17" spans="1:4" ht="15" x14ac:dyDescent="0.2">
      <c r="A17" s="58"/>
      <c r="B17" s="40" t="s">
        <v>46</v>
      </c>
      <c r="C17" s="39">
        <f>DeltaCall(Price, Strike, F5, F6, F7, Time)</f>
        <v>0.73002708409972628</v>
      </c>
      <c r="D17" s="39">
        <f>DeltaPut(Price, Strike, F5, F6, F7, Time)</f>
        <v>-0.26997291590027372</v>
      </c>
    </row>
    <row r="18" spans="1:4" ht="15" x14ac:dyDescent="0.2">
      <c r="A18" s="58"/>
      <c r="B18" s="40" t="s">
        <v>45</v>
      </c>
      <c r="C18" s="39">
        <f>GammaBS(Price, Strike, F5, F6, F7, Time)</f>
        <v>2.0839562460556803E-2</v>
      </c>
      <c r="D18" s="39">
        <f>C18</f>
        <v>2.0839562460556803E-2</v>
      </c>
    </row>
    <row r="19" spans="1:4" ht="15" x14ac:dyDescent="0.2">
      <c r="A19" s="58"/>
      <c r="B19" s="40" t="s">
        <v>44</v>
      </c>
      <c r="C19" s="39">
        <f>Vega(Price, Strike, F5, F6, F7, Time)</f>
        <v>20.982299189738697</v>
      </c>
      <c r="D19" s="39">
        <f>C19</f>
        <v>20.982299189738697</v>
      </c>
    </row>
    <row r="20" spans="1:4" ht="15" x14ac:dyDescent="0.2">
      <c r="A20" s="58"/>
      <c r="B20" s="40" t="s">
        <v>43</v>
      </c>
      <c r="C20" s="39">
        <f>ThetaCall(Price, Strike, F5, F6, F7, Time)</f>
        <v>-3.3228058845876714E-2</v>
      </c>
      <c r="D20" s="39">
        <f>ThetaPut(Price, Strike, F5, F6, F7, Time)</f>
        <v>-2.2289592542450064E-2</v>
      </c>
    </row>
    <row r="21" spans="1:4" ht="15" x14ac:dyDescent="0.2">
      <c r="A21" s="58"/>
      <c r="B21" s="40" t="s">
        <v>42</v>
      </c>
      <c r="C21" s="39">
        <f>ThetaFundingCall(Price, Strike, F5, F6, F7, Time)</f>
        <v>-3.4533510004853885E-2</v>
      </c>
      <c r="D21" s="39">
        <f>ThetaFundingPut(Price, Strike, F5, F6, F7, Time)</f>
        <v>-2.2628748100091984E-2</v>
      </c>
    </row>
    <row r="22" spans="1:4" ht="15" x14ac:dyDescent="0.2">
      <c r="A22" s="58"/>
      <c r="B22" s="40" t="s">
        <v>41</v>
      </c>
      <c r="C22" s="39">
        <f>Vomma(Price, Strike, F5, F6, F7, Time)</f>
        <v>23.3660280852583</v>
      </c>
      <c r="D22" s="39">
        <f>C22</f>
        <v>23.3660280852583</v>
      </c>
    </row>
    <row r="23" spans="1:4" ht="15" x14ac:dyDescent="0.2">
      <c r="A23" s="58"/>
      <c r="B23" s="40" t="s">
        <v>40</v>
      </c>
      <c r="C23" s="39">
        <f>vanna(Price, Strike, F5, F6, F7, Time)</f>
        <v>-0.60074013461702525</v>
      </c>
      <c r="D23" s="39">
        <f>C23</f>
        <v>-0.60074013461702525</v>
      </c>
    </row>
    <row r="25" spans="1:4" x14ac:dyDescent="0.15">
      <c r="A25" s="38" t="str">
        <f>C15&amp;" "&amp; TEXT($B$6, "dd-mmm-yy") &amp; " @ " &amp; Strike &amp; " with r=" &amp;F6 &amp; ", div=" &amp; F7 &amp; ", vol=" &amp; F5 &amp; " and spot=" &amp; F4 &amp; " on " &amp; TEXT(I4, "dd-mmm-yy") &amp; " = " &amp;C16</f>
        <v>Call dd-févr-yy @ 93 with r=0,03, div=0, vol=0,25 and spot=100 on dd-sept-yy = 10,9657897354083</v>
      </c>
    </row>
    <row r="26" spans="1:4" x14ac:dyDescent="0.15">
      <c r="A26" s="38" t="str">
        <f>$D$15 &amp;" "&amp; TEXT($C$6, "dd-mmm-yy") &amp; " @ " &amp; $C$5 &amp; " with r=" &amp; F6 &amp; ", div=" &amp; F7 &amp; ", vol=" &amp; F5 &amp; " and spot=" &amp; F4 &amp; " on " &amp; TEXT(I4, "dd-mmm-yy") &amp; " = " &amp;D16</f>
        <v>Put dd-févr-yy @ 93 with r=0,03, div=0, vol=0,25 and spot=100 on dd-sept-yy = 2,84890668419213</v>
      </c>
    </row>
  </sheetData>
  <mergeCells count="1">
    <mergeCell ref="A1:L1"/>
  </mergeCells>
  <conditionalFormatting sqref="K7 G8">
    <cfRule type="colorScale" priority="1">
      <colorScale>
        <cfvo type="num" val="-1E-4"/>
        <cfvo type="num" val="0"/>
        <cfvo type="num" val="1E-4"/>
        <color rgb="FF99CCFF"/>
        <color rgb="FFFCFCFF"/>
        <color rgb="FFFF9999"/>
      </colorScale>
    </cfRule>
  </conditionalFormatting>
  <dataValidations count="2">
    <dataValidation type="list" errorStyle="warning" allowBlank="1" showInputMessage="1" showErrorMessage="1" sqref="B4:C4" xr:uid="{AB9C8676-EC70-4989-B655-208E53340F63}">
      <formula1>"Call,Put"</formula1>
    </dataValidation>
    <dataValidation type="decimal" errorStyle="warning" operator="greaterThan" allowBlank="1" showInputMessage="1" showErrorMessage="1" errorTitle="T-t &gt; 0" sqref="I4 B6:C7" xr:uid="{00000000-0002-0000-0000-000000000000}">
      <formula1>0</formula1>
    </dataValidation>
  </dataValidations>
  <hyperlinks>
    <hyperlink ref="H7" r:id="rId1" xr:uid="{0CF40272-6A10-2941-93B4-AE272D45F346}"/>
  </hyperlinks>
  <pageMargins left="0.7" right="0.7" top="0.75" bottom="0.75" header="0.3" footer="0.3"/>
  <pageSetup orientation="portrait" horizontalDpi="300" verticalDpi="3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9003C-A44E-4725-A550-2709D97C8DE0}">
  <sheetPr codeName="Feuil1"/>
  <dimension ref="B7:I412"/>
  <sheetViews>
    <sheetView showGridLines="0" zoomScale="50" zoomScaleNormal="55" workbookViewId="0">
      <selection activeCell="F34" sqref="F34"/>
    </sheetView>
  </sheetViews>
  <sheetFormatPr baseColWidth="10" defaultRowHeight="15" x14ac:dyDescent="0.2"/>
  <cols>
    <col min="3" max="4" width="24.83203125" customWidth="1"/>
    <col min="5" max="5" width="27.83203125" customWidth="1"/>
    <col min="6" max="6" width="30.5" customWidth="1"/>
    <col min="8" max="8" width="14.83203125" customWidth="1"/>
    <col min="9" max="9" width="15.83203125" customWidth="1"/>
  </cols>
  <sheetData>
    <row r="7" spans="2:9" ht="16" thickBot="1" x14ac:dyDescent="0.25">
      <c r="B7" s="36" t="s">
        <v>22</v>
      </c>
      <c r="C7" s="36" t="s">
        <v>23</v>
      </c>
      <c r="D7" s="36" t="s">
        <v>69</v>
      </c>
      <c r="E7" s="36" t="s">
        <v>24</v>
      </c>
      <c r="F7" s="36" t="s">
        <v>32</v>
      </c>
      <c r="H7" s="28" t="s">
        <v>25</v>
      </c>
      <c r="I7" s="29">
        <v>100</v>
      </c>
    </row>
    <row r="8" spans="2:9" x14ac:dyDescent="0.2">
      <c r="B8">
        <v>1</v>
      </c>
      <c r="C8">
        <v>1.9345728422142185</v>
      </c>
      <c r="D8">
        <f>ABS(C8-$E$8)</f>
        <v>0.68710457881139386</v>
      </c>
      <c r="E8" cm="1">
        <f t="array" ref="E8">BlackScholesCall(Stock_price,Strikee,Vol,Int_rate,0,I15)</f>
        <v>1.2474682634028247</v>
      </c>
      <c r="F8">
        <f>D8*B8</f>
        <v>0.68710457881139386</v>
      </c>
      <c r="H8" s="30" t="s">
        <v>26</v>
      </c>
      <c r="I8" s="31">
        <v>44980</v>
      </c>
    </row>
    <row r="9" spans="2:9" x14ac:dyDescent="0.2">
      <c r="B9">
        <v>2</v>
      </c>
      <c r="C9">
        <v>1.3188802698990072</v>
      </c>
      <c r="D9">
        <f t="shared" ref="D9:D72" si="0">ABS(C9-$E$8)</f>
        <v>7.1412006496182512E-2</v>
      </c>
      <c r="F9">
        <f t="shared" ref="F9:F72" si="1">D9*B9</f>
        <v>0.14282401299236502</v>
      </c>
      <c r="H9" s="30" t="s">
        <v>27</v>
      </c>
      <c r="I9" s="31">
        <v>44833</v>
      </c>
    </row>
    <row r="10" spans="2:9" x14ac:dyDescent="0.2">
      <c r="B10">
        <v>3</v>
      </c>
      <c r="C10">
        <v>1.0052552544618045</v>
      </c>
      <c r="D10">
        <f t="shared" si="0"/>
        <v>0.24221300894102016</v>
      </c>
      <c r="F10">
        <f t="shared" si="1"/>
        <v>0.72663902682306047</v>
      </c>
      <c r="H10" s="30" t="s">
        <v>28</v>
      </c>
      <c r="I10" s="32">
        <v>0.03</v>
      </c>
    </row>
    <row r="11" spans="2:9" x14ac:dyDescent="0.2">
      <c r="B11">
        <v>4</v>
      </c>
      <c r="C11">
        <v>1.2115093688610119</v>
      </c>
      <c r="D11">
        <f t="shared" si="0"/>
        <v>3.595889454181278E-2</v>
      </c>
      <c r="F11">
        <f t="shared" si="1"/>
        <v>0.14383557816725112</v>
      </c>
      <c r="H11" s="30" t="s">
        <v>30</v>
      </c>
      <c r="I11" s="32">
        <v>0.25</v>
      </c>
    </row>
    <row r="12" spans="2:9" x14ac:dyDescent="0.2">
      <c r="B12">
        <v>5</v>
      </c>
      <c r="C12">
        <v>1.3046334529692551</v>
      </c>
      <c r="D12">
        <f t="shared" si="0"/>
        <v>5.7165189566430463E-2</v>
      </c>
      <c r="F12">
        <f t="shared" si="1"/>
        <v>0.28582594783215232</v>
      </c>
      <c r="H12" s="30" t="s">
        <v>11</v>
      </c>
      <c r="I12" s="33">
        <v>120</v>
      </c>
    </row>
    <row r="13" spans="2:9" x14ac:dyDescent="0.2">
      <c r="B13">
        <v>6</v>
      </c>
      <c r="C13">
        <v>1.3318922523601504</v>
      </c>
      <c r="D13">
        <f t="shared" si="0"/>
        <v>8.4423988957325724E-2</v>
      </c>
      <c r="F13">
        <f t="shared" si="1"/>
        <v>0.50654393374395434</v>
      </c>
      <c r="H13" s="30" t="s">
        <v>9</v>
      </c>
      <c r="I13" s="33" t="s">
        <v>17</v>
      </c>
    </row>
    <row r="14" spans="2:9" x14ac:dyDescent="0.2">
      <c r="B14">
        <v>7</v>
      </c>
      <c r="C14">
        <v>1.3213414589261343</v>
      </c>
      <c r="D14">
        <f t="shared" si="0"/>
        <v>7.387319552330962E-2</v>
      </c>
      <c r="F14">
        <f t="shared" si="1"/>
        <v>0.51711236866316734</v>
      </c>
      <c r="H14" s="30" t="s">
        <v>10</v>
      </c>
      <c r="I14" s="33" t="s">
        <v>29</v>
      </c>
    </row>
    <row r="15" spans="2:9" x14ac:dyDescent="0.2">
      <c r="B15">
        <v>8</v>
      </c>
      <c r="C15">
        <v>1.2892278759694462</v>
      </c>
      <c r="D15">
        <f t="shared" si="0"/>
        <v>4.1759612566621529E-2</v>
      </c>
      <c r="F15">
        <f t="shared" si="1"/>
        <v>0.33407690053297223</v>
      </c>
      <c r="H15" s="34" t="s">
        <v>31</v>
      </c>
      <c r="I15" s="35">
        <f>(Maturity_date-Pricing_date)/365</f>
        <v>0.40273972602739727</v>
      </c>
    </row>
    <row r="16" spans="2:9" x14ac:dyDescent="0.2">
      <c r="B16">
        <v>9</v>
      </c>
      <c r="C16">
        <v>1.2450048867871899</v>
      </c>
      <c r="D16">
        <f t="shared" si="0"/>
        <v>2.4633766156347825E-3</v>
      </c>
      <c r="F16">
        <f t="shared" si="1"/>
        <v>2.2170389540713042E-2</v>
      </c>
    </row>
    <row r="17" spans="2:6" x14ac:dyDescent="0.2">
      <c r="B17">
        <v>10</v>
      </c>
      <c r="C17">
        <v>1.1942521429242701</v>
      </c>
      <c r="D17">
        <f t="shared" si="0"/>
        <v>5.3216120478554618E-2</v>
      </c>
      <c r="F17">
        <f t="shared" si="1"/>
        <v>0.53216120478554618</v>
      </c>
    </row>
    <row r="18" spans="2:6" x14ac:dyDescent="0.2">
      <c r="B18">
        <v>11</v>
      </c>
      <c r="C18">
        <v>1.17077856742111</v>
      </c>
      <c r="D18">
        <f t="shared" si="0"/>
        <v>7.6689695981714712E-2</v>
      </c>
      <c r="F18">
        <f t="shared" si="1"/>
        <v>0.84358665579886183</v>
      </c>
    </row>
    <row r="19" spans="2:6" x14ac:dyDescent="0.2">
      <c r="B19">
        <v>12</v>
      </c>
      <c r="C19">
        <v>1.210652069848152</v>
      </c>
      <c r="D19">
        <f t="shared" si="0"/>
        <v>3.6816193554672694E-2</v>
      </c>
      <c r="F19">
        <f t="shared" si="1"/>
        <v>0.44179432265607232</v>
      </c>
    </row>
    <row r="20" spans="2:6" x14ac:dyDescent="0.2">
      <c r="B20">
        <v>13</v>
      </c>
      <c r="C20">
        <v>1.2392068509469183</v>
      </c>
      <c r="D20">
        <f t="shared" si="0"/>
        <v>8.2614124559063917E-3</v>
      </c>
      <c r="F20">
        <f t="shared" si="1"/>
        <v>0.10739836192678309</v>
      </c>
    </row>
    <row r="21" spans="2:6" x14ac:dyDescent="0.2">
      <c r="B21">
        <v>14</v>
      </c>
      <c r="C21">
        <v>1.2585759711799516</v>
      </c>
      <c r="D21">
        <f t="shared" si="0"/>
        <v>1.1107707777126885E-2</v>
      </c>
      <c r="F21">
        <f t="shared" si="1"/>
        <v>0.15550790887977639</v>
      </c>
    </row>
    <row r="22" spans="2:6" x14ac:dyDescent="0.2">
      <c r="B22">
        <v>15</v>
      </c>
      <c r="C22">
        <v>1.2704881355934079</v>
      </c>
      <c r="D22">
        <f t="shared" si="0"/>
        <v>2.3019872190583213E-2</v>
      </c>
      <c r="F22">
        <f t="shared" si="1"/>
        <v>0.34529808285874819</v>
      </c>
    </row>
    <row r="23" spans="2:6" x14ac:dyDescent="0.2">
      <c r="B23">
        <v>16</v>
      </c>
      <c r="C23">
        <v>1.2763401076479899</v>
      </c>
      <c r="D23">
        <f t="shared" si="0"/>
        <v>2.8871844245165201E-2</v>
      </c>
      <c r="F23">
        <f t="shared" si="1"/>
        <v>0.46194950792264322</v>
      </c>
    </row>
    <row r="24" spans="2:6" x14ac:dyDescent="0.2">
      <c r="B24">
        <v>17</v>
      </c>
      <c r="C24">
        <v>1.2772606489286711</v>
      </c>
      <c r="D24">
        <f t="shared" si="0"/>
        <v>2.9792385525846399E-2</v>
      </c>
      <c r="F24">
        <f t="shared" si="1"/>
        <v>0.50647055393938878</v>
      </c>
    </row>
    <row r="25" spans="2:6" x14ac:dyDescent="0.2">
      <c r="B25">
        <v>18</v>
      </c>
      <c r="C25">
        <v>1.2741637520337887</v>
      </c>
      <c r="D25">
        <f t="shared" si="0"/>
        <v>2.6695488630964048E-2</v>
      </c>
      <c r="F25">
        <f t="shared" si="1"/>
        <v>0.48051879535735287</v>
      </c>
    </row>
    <row r="26" spans="2:6" x14ac:dyDescent="0.2">
      <c r="B26">
        <v>19</v>
      </c>
      <c r="C26">
        <v>1.2677917058003754</v>
      </c>
      <c r="D26">
        <f t="shared" si="0"/>
        <v>2.0323442397550684E-2</v>
      </c>
      <c r="F26">
        <f t="shared" si="1"/>
        <v>0.38614540555346299</v>
      </c>
    </row>
    <row r="27" spans="2:6" x14ac:dyDescent="0.2">
      <c r="B27">
        <v>20</v>
      </c>
      <c r="C27">
        <v>1.2587494444221745</v>
      </c>
      <c r="D27">
        <f t="shared" si="0"/>
        <v>1.1281181019349829E-2</v>
      </c>
      <c r="F27">
        <f t="shared" si="1"/>
        <v>0.22562362038699657</v>
      </c>
    </row>
    <row r="28" spans="2:6" x14ac:dyDescent="0.2">
      <c r="B28">
        <v>21</v>
      </c>
      <c r="C28">
        <v>1.2475317705743934</v>
      </c>
      <c r="D28">
        <f t="shared" si="0"/>
        <v>6.3507171568666365E-5</v>
      </c>
      <c r="F28">
        <f t="shared" si="1"/>
        <v>1.3336506029419937E-3</v>
      </c>
    </row>
    <row r="29" spans="2:6" x14ac:dyDescent="0.2">
      <c r="B29">
        <v>22</v>
      </c>
      <c r="C29">
        <v>1.2345448900539799</v>
      </c>
      <c r="D29">
        <f t="shared" si="0"/>
        <v>1.2923373348844747E-2</v>
      </c>
      <c r="F29">
        <f t="shared" si="1"/>
        <v>0.28431421367458443</v>
      </c>
    </row>
    <row r="30" spans="2:6" x14ac:dyDescent="0.2">
      <c r="B30">
        <v>23</v>
      </c>
      <c r="C30">
        <v>1.2201234596280108</v>
      </c>
      <c r="D30">
        <f t="shared" si="0"/>
        <v>2.7344803774813853E-2</v>
      </c>
      <c r="F30">
        <f t="shared" si="1"/>
        <v>0.62893048682071861</v>
      </c>
    </row>
    <row r="31" spans="2:6" x14ac:dyDescent="0.2">
      <c r="B31">
        <v>24</v>
      </c>
      <c r="C31">
        <v>1.2084682009040735</v>
      </c>
      <c r="D31">
        <f t="shared" si="0"/>
        <v>3.9000062498751209E-2</v>
      </c>
      <c r="F31">
        <f t="shared" si="1"/>
        <v>0.93600149997002902</v>
      </c>
    </row>
    <row r="32" spans="2:6" x14ac:dyDescent="0.2">
      <c r="B32">
        <v>25</v>
      </c>
      <c r="C32">
        <v>1.2221801306714051</v>
      </c>
      <c r="D32">
        <f t="shared" si="0"/>
        <v>2.528813273141961E-2</v>
      </c>
      <c r="F32">
        <f t="shared" si="1"/>
        <v>0.63220331828549026</v>
      </c>
    </row>
    <row r="33" spans="2:6" x14ac:dyDescent="0.2">
      <c r="B33">
        <v>26</v>
      </c>
      <c r="C33">
        <v>1.2334741080893303</v>
      </c>
      <c r="D33">
        <f t="shared" si="0"/>
        <v>1.399415531349435E-2</v>
      </c>
      <c r="F33">
        <f t="shared" si="1"/>
        <v>0.36384803815085309</v>
      </c>
    </row>
    <row r="34" spans="2:6" x14ac:dyDescent="0.2">
      <c r="B34">
        <v>27</v>
      </c>
      <c r="C34">
        <v>1.2425956192720005</v>
      </c>
      <c r="D34">
        <f t="shared" si="0"/>
        <v>4.8726441308242219E-3</v>
      </c>
      <c r="F34">
        <f t="shared" si="1"/>
        <v>0.13156139153225399</v>
      </c>
    </row>
    <row r="35" spans="2:6" x14ac:dyDescent="0.2">
      <c r="B35">
        <v>28</v>
      </c>
      <c r="C35">
        <v>1.2497645682824106</v>
      </c>
      <c r="D35">
        <f t="shared" si="0"/>
        <v>2.2963048795858754E-3</v>
      </c>
      <c r="F35">
        <f t="shared" si="1"/>
        <v>6.429653662840451E-2</v>
      </c>
    </row>
    <row r="36" spans="2:6" x14ac:dyDescent="0.2">
      <c r="B36">
        <v>29</v>
      </c>
      <c r="C36">
        <v>1.2551779018814131</v>
      </c>
      <c r="D36">
        <f t="shared" si="0"/>
        <v>7.7096384785884098E-3</v>
      </c>
      <c r="F36">
        <f t="shared" si="1"/>
        <v>0.22357951587906388</v>
      </c>
    </row>
    <row r="37" spans="2:6" x14ac:dyDescent="0.2">
      <c r="B37">
        <v>30</v>
      </c>
      <c r="C37">
        <v>1.2590120334878265</v>
      </c>
      <c r="D37">
        <f t="shared" si="0"/>
        <v>1.1543770085001848E-2</v>
      </c>
      <c r="F37">
        <f t="shared" si="1"/>
        <v>0.34631310255005543</v>
      </c>
    </row>
    <row r="38" spans="2:6" x14ac:dyDescent="0.2">
      <c r="B38">
        <v>31</v>
      </c>
      <c r="C38">
        <v>1.2614250506819853</v>
      </c>
      <c r="D38">
        <f t="shared" si="0"/>
        <v>1.395678727916061E-2</v>
      </c>
      <c r="F38">
        <f t="shared" si="1"/>
        <v>0.4326604056539789</v>
      </c>
    </row>
    <row r="39" spans="2:6" x14ac:dyDescent="0.2">
      <c r="B39">
        <v>32</v>
      </c>
      <c r="C39">
        <v>1.2625587064897792</v>
      </c>
      <c r="D39">
        <f t="shared" si="0"/>
        <v>1.5090443086954508E-2</v>
      </c>
      <c r="F39">
        <f t="shared" si="1"/>
        <v>0.48289417878254426</v>
      </c>
    </row>
    <row r="40" spans="2:6" x14ac:dyDescent="0.2">
      <c r="B40">
        <v>33</v>
      </c>
      <c r="C40">
        <v>1.2625402038072016</v>
      </c>
      <c r="D40">
        <f t="shared" si="0"/>
        <v>1.5071940404376871E-2</v>
      </c>
      <c r="F40">
        <f t="shared" si="1"/>
        <v>0.49737403334443675</v>
      </c>
    </row>
    <row r="41" spans="2:6" x14ac:dyDescent="0.2">
      <c r="B41">
        <v>34</v>
      </c>
      <c r="C41">
        <v>1.2614837871889804</v>
      </c>
      <c r="D41">
        <f t="shared" si="0"/>
        <v>1.401552378615567E-2</v>
      </c>
      <c r="F41">
        <f t="shared" si="1"/>
        <v>0.47652780872929279</v>
      </c>
    </row>
    <row r="42" spans="2:6" x14ac:dyDescent="0.2">
      <c r="B42">
        <v>35</v>
      </c>
      <c r="C42">
        <v>1.2594921584061989</v>
      </c>
      <c r="D42">
        <f t="shared" si="0"/>
        <v>1.2023895003374196E-2</v>
      </c>
      <c r="F42">
        <f t="shared" si="1"/>
        <v>0.42083632511809688</v>
      </c>
    </row>
    <row r="43" spans="2:6" x14ac:dyDescent="0.2">
      <c r="B43">
        <v>36</v>
      </c>
      <c r="C43">
        <v>1.2566577327357515</v>
      </c>
      <c r="D43">
        <f t="shared" si="0"/>
        <v>9.1894693329268584E-3</v>
      </c>
      <c r="F43">
        <f t="shared" si="1"/>
        <v>0.3308208959853669</v>
      </c>
    </row>
    <row r="44" spans="2:6" x14ac:dyDescent="0.2">
      <c r="B44">
        <v>37</v>
      </c>
      <c r="C44">
        <v>1.2530637525144881</v>
      </c>
      <c r="D44">
        <f t="shared" si="0"/>
        <v>5.5954891116634098E-3</v>
      </c>
      <c r="F44">
        <f t="shared" si="1"/>
        <v>0.20703309713154616</v>
      </c>
    </row>
    <row r="45" spans="2:6" x14ac:dyDescent="0.2">
      <c r="B45">
        <v>38</v>
      </c>
      <c r="C45">
        <v>1.2487852735502538</v>
      </c>
      <c r="D45">
        <f t="shared" si="0"/>
        <v>1.3170101474291318E-3</v>
      </c>
      <c r="F45">
        <f t="shared" si="1"/>
        <v>5.0046385602307009E-2</v>
      </c>
    </row>
    <row r="46" spans="2:6" x14ac:dyDescent="0.2">
      <c r="B46">
        <v>39</v>
      </c>
      <c r="C46">
        <v>1.2438900387181984</v>
      </c>
      <c r="D46">
        <f t="shared" si="0"/>
        <v>3.5782246846263188E-3</v>
      </c>
      <c r="F46">
        <f t="shared" si="1"/>
        <v>0.13955076270042643</v>
      </c>
    </row>
    <row r="47" spans="2:6" x14ac:dyDescent="0.2">
      <c r="B47">
        <v>40</v>
      </c>
      <c r="C47">
        <v>1.2384392517851841</v>
      </c>
      <c r="D47">
        <f t="shared" si="0"/>
        <v>9.029011617640581E-3</v>
      </c>
      <c r="F47">
        <f t="shared" si="1"/>
        <v>0.36116046470562324</v>
      </c>
    </row>
    <row r="48" spans="2:6" x14ac:dyDescent="0.2">
      <c r="B48">
        <v>41</v>
      </c>
      <c r="C48">
        <v>1.2324882631250227</v>
      </c>
      <c r="D48">
        <f t="shared" si="0"/>
        <v>1.4980000277801997E-2</v>
      </c>
      <c r="F48">
        <f t="shared" si="1"/>
        <v>0.61418001138988187</v>
      </c>
    </row>
    <row r="49" spans="2:6" x14ac:dyDescent="0.2">
      <c r="B49">
        <v>42</v>
      </c>
      <c r="C49">
        <v>1.2260871777375708</v>
      </c>
      <c r="D49">
        <f t="shared" si="0"/>
        <v>2.1381085665253874E-2</v>
      </c>
      <c r="F49">
        <f t="shared" si="1"/>
        <v>0.8980055979406627</v>
      </c>
    </row>
    <row r="50" spans="2:6" x14ac:dyDescent="0.2">
      <c r="B50">
        <v>43</v>
      </c>
      <c r="C50">
        <v>1.2290274880294068</v>
      </c>
      <c r="D50">
        <f t="shared" si="0"/>
        <v>1.8440775373417928E-2</v>
      </c>
      <c r="F50">
        <f t="shared" si="1"/>
        <v>0.79295334105697091</v>
      </c>
    </row>
    <row r="51" spans="2:6" x14ac:dyDescent="0.2">
      <c r="B51">
        <v>44</v>
      </c>
      <c r="C51">
        <v>1.2345831417254849</v>
      </c>
      <c r="D51">
        <f t="shared" si="0"/>
        <v>1.2885121677339795E-2</v>
      </c>
      <c r="F51">
        <f t="shared" si="1"/>
        <v>0.56694535380295097</v>
      </c>
    </row>
    <row r="52" spans="2:6" x14ac:dyDescent="0.2">
      <c r="B52">
        <v>45</v>
      </c>
      <c r="C52">
        <v>1.2394082528315127</v>
      </c>
      <c r="D52">
        <f t="shared" si="0"/>
        <v>8.060010571312004E-3</v>
      </c>
      <c r="F52">
        <f t="shared" si="1"/>
        <v>0.36270047570904018</v>
      </c>
    </row>
    <row r="53" spans="2:6" x14ac:dyDescent="0.2">
      <c r="B53">
        <v>46</v>
      </c>
      <c r="C53">
        <v>1.2435484454354757</v>
      </c>
      <c r="D53">
        <f t="shared" si="0"/>
        <v>3.9198179673489708E-3</v>
      </c>
      <c r="F53">
        <f t="shared" si="1"/>
        <v>0.18031162649805266</v>
      </c>
    </row>
    <row r="54" spans="2:6" x14ac:dyDescent="0.2">
      <c r="B54">
        <v>47</v>
      </c>
      <c r="C54">
        <v>1.2470463915678209</v>
      </c>
      <c r="D54">
        <f t="shared" si="0"/>
        <v>4.2187183500375092E-4</v>
      </c>
      <c r="F54">
        <f t="shared" si="1"/>
        <v>1.9827976245176293E-2</v>
      </c>
    </row>
    <row r="55" spans="2:6" x14ac:dyDescent="0.2">
      <c r="B55">
        <v>48</v>
      </c>
      <c r="C55">
        <v>1.2499420062268545</v>
      </c>
      <c r="D55">
        <f t="shared" si="0"/>
        <v>2.4737428240297898E-3</v>
      </c>
      <c r="F55">
        <f t="shared" si="1"/>
        <v>0.11873965555342991</v>
      </c>
    </row>
    <row r="56" spans="2:6" x14ac:dyDescent="0.2">
      <c r="B56">
        <v>49</v>
      </c>
      <c r="C56">
        <v>1.2522726313823704</v>
      </c>
      <c r="D56">
        <f t="shared" si="0"/>
        <v>4.8043679795457539E-3</v>
      </c>
      <c r="F56">
        <f t="shared" si="1"/>
        <v>0.23541403099774194</v>
      </c>
    </row>
    <row r="57" spans="2:6" x14ac:dyDescent="0.2">
      <c r="B57">
        <v>50</v>
      </c>
      <c r="C57">
        <v>1.2540732089645132</v>
      </c>
      <c r="D57">
        <f t="shared" si="0"/>
        <v>6.6049455616885577E-3</v>
      </c>
      <c r="F57">
        <f t="shared" si="1"/>
        <v>0.33024727808442789</v>
      </c>
    </row>
    <row r="58" spans="2:6" x14ac:dyDescent="0.2">
      <c r="B58">
        <v>51</v>
      </c>
      <c r="C58">
        <v>1.2553764430550025</v>
      </c>
      <c r="D58">
        <f t="shared" si="0"/>
        <v>7.9081796521778269E-3</v>
      </c>
      <c r="F58">
        <f t="shared" si="1"/>
        <v>0.40331716226106917</v>
      </c>
    </row>
    <row r="59" spans="2:6" x14ac:dyDescent="0.2">
      <c r="B59">
        <v>52</v>
      </c>
      <c r="C59">
        <v>1.2562129516019604</v>
      </c>
      <c r="D59">
        <f t="shared" si="0"/>
        <v>8.7446881991357639E-3</v>
      </c>
      <c r="F59">
        <f t="shared" si="1"/>
        <v>0.45472378635505972</v>
      </c>
    </row>
    <row r="60" spans="2:6" x14ac:dyDescent="0.2">
      <c r="B60">
        <v>53</v>
      </c>
      <c r="C60">
        <v>1.2566114080923139</v>
      </c>
      <c r="D60">
        <f t="shared" si="0"/>
        <v>9.1431446894891799E-3</v>
      </c>
      <c r="F60">
        <f t="shared" si="1"/>
        <v>0.48458666854292654</v>
      </c>
    </row>
    <row r="61" spans="2:6" x14ac:dyDescent="0.2">
      <c r="B61">
        <v>54</v>
      </c>
      <c r="C61">
        <v>1.2565986736544141</v>
      </c>
      <c r="D61">
        <f t="shared" si="0"/>
        <v>9.1304102515894492E-3</v>
      </c>
      <c r="F61">
        <f t="shared" si="1"/>
        <v>0.49304215358583026</v>
      </c>
    </row>
    <row r="62" spans="2:6" x14ac:dyDescent="0.2">
      <c r="B62">
        <v>55</v>
      </c>
      <c r="C62">
        <v>1.2561999201028704</v>
      </c>
      <c r="D62">
        <f t="shared" si="0"/>
        <v>8.7316567000457201E-3</v>
      </c>
      <c r="F62">
        <f t="shared" si="1"/>
        <v>0.48024111850251461</v>
      </c>
    </row>
    <row r="63" spans="2:6" x14ac:dyDescent="0.2">
      <c r="B63">
        <v>56</v>
      </c>
      <c r="C63">
        <v>1.2554387444440922</v>
      </c>
      <c r="D63">
        <f t="shared" si="0"/>
        <v>7.9704810412675187E-3</v>
      </c>
      <c r="F63">
        <f t="shared" si="1"/>
        <v>0.44634693831098105</v>
      </c>
    </row>
    <row r="64" spans="2:6" x14ac:dyDescent="0.2">
      <c r="B64">
        <v>57</v>
      </c>
      <c r="C64">
        <v>1.2543372753656792</v>
      </c>
      <c r="D64">
        <f t="shared" si="0"/>
        <v>6.8690119628544988E-3</v>
      </c>
      <c r="F64">
        <f t="shared" si="1"/>
        <v>0.39153368188270643</v>
      </c>
    </row>
    <row r="65" spans="2:6" x14ac:dyDescent="0.2">
      <c r="B65">
        <v>58</v>
      </c>
      <c r="C65">
        <v>1.2529162722258518</v>
      </c>
      <c r="D65">
        <f t="shared" si="0"/>
        <v>5.4480088230270951E-3</v>
      </c>
      <c r="F65">
        <f t="shared" si="1"/>
        <v>0.31598451173557152</v>
      </c>
    </row>
    <row r="66" spans="2:6" x14ac:dyDescent="0.2">
      <c r="B66">
        <v>59</v>
      </c>
      <c r="C66">
        <v>1.251195217032288</v>
      </c>
      <c r="D66">
        <f t="shared" si="0"/>
        <v>3.7269536294632921E-3</v>
      </c>
      <c r="F66">
        <f t="shared" si="1"/>
        <v>0.21989026413833423</v>
      </c>
    </row>
    <row r="67" spans="2:6" x14ac:dyDescent="0.2">
      <c r="B67">
        <v>60</v>
      </c>
      <c r="C67">
        <v>1.2491923999003292</v>
      </c>
      <c r="D67">
        <f t="shared" si="0"/>
        <v>1.7241364975044693E-3</v>
      </c>
      <c r="F67">
        <f t="shared" si="1"/>
        <v>0.10344818985026816</v>
      </c>
    </row>
    <row r="68" spans="2:6" x14ac:dyDescent="0.2">
      <c r="B68">
        <v>61</v>
      </c>
      <c r="C68">
        <v>1.2469249984313544</v>
      </c>
      <c r="D68">
        <f t="shared" si="0"/>
        <v>5.4326497147028086E-4</v>
      </c>
      <c r="F68">
        <f t="shared" si="1"/>
        <v>3.3139163259687132E-2</v>
      </c>
    </row>
    <row r="69" spans="2:6" x14ac:dyDescent="0.2">
      <c r="B69">
        <v>62</v>
      </c>
      <c r="C69">
        <v>1.2444091514466527</v>
      </c>
      <c r="D69">
        <f t="shared" si="0"/>
        <v>3.0591119561720337E-3</v>
      </c>
      <c r="F69">
        <f t="shared" si="1"/>
        <v>0.18966494128266609</v>
      </c>
    </row>
    <row r="70" spans="2:6" x14ac:dyDescent="0.2">
      <c r="B70">
        <v>63</v>
      </c>
      <c r="C70">
        <v>1.2416600274827945</v>
      </c>
      <c r="D70">
        <f t="shared" si="0"/>
        <v>5.8082359200302136E-3</v>
      </c>
      <c r="F70">
        <f t="shared" si="1"/>
        <v>0.36591886296190346</v>
      </c>
    </row>
    <row r="71" spans="2:6" x14ac:dyDescent="0.2">
      <c r="B71">
        <v>64</v>
      </c>
      <c r="C71">
        <v>1.2386918884277951</v>
      </c>
      <c r="D71">
        <f t="shared" si="0"/>
        <v>8.7763749750295883E-3</v>
      </c>
      <c r="F71">
        <f t="shared" si="1"/>
        <v>0.56168799840189365</v>
      </c>
    </row>
    <row r="72" spans="2:6" x14ac:dyDescent="0.2">
      <c r="B72">
        <v>65</v>
      </c>
      <c r="C72">
        <v>1.2355181486483948</v>
      </c>
      <c r="D72">
        <f t="shared" si="0"/>
        <v>1.1950114754429864E-2</v>
      </c>
      <c r="F72">
        <f t="shared" si="1"/>
        <v>0.77675745903794113</v>
      </c>
    </row>
    <row r="73" spans="2:6" x14ac:dyDescent="0.2">
      <c r="B73">
        <v>66</v>
      </c>
      <c r="C73">
        <v>1.2331853418394731</v>
      </c>
      <c r="D73">
        <f t="shared" ref="D73:D136" si="2">ABS(C73-$E$8)</f>
        <v>1.4282921563351536E-2</v>
      </c>
      <c r="F73">
        <f t="shared" ref="F73:F136" si="3">D73*B73</f>
        <v>0.94267282318120138</v>
      </c>
    </row>
    <row r="74" spans="2:6" x14ac:dyDescent="0.2">
      <c r="B74">
        <v>67</v>
      </c>
      <c r="C74">
        <v>1.236337823250466</v>
      </c>
      <c r="D74">
        <f t="shared" si="2"/>
        <v>1.1130440152358645E-2</v>
      </c>
      <c r="F74">
        <f t="shared" si="3"/>
        <v>0.74573949020802921</v>
      </c>
    </row>
    <row r="75" spans="2:6" x14ac:dyDescent="0.2">
      <c r="B75">
        <v>68</v>
      </c>
      <c r="C75">
        <v>1.2391836060588921</v>
      </c>
      <c r="D75">
        <f t="shared" si="2"/>
        <v>8.2846573439325777E-3</v>
      </c>
      <c r="F75">
        <f t="shared" si="3"/>
        <v>0.56335669938741528</v>
      </c>
    </row>
    <row r="76" spans="2:6" x14ac:dyDescent="0.2">
      <c r="B76">
        <v>69</v>
      </c>
      <c r="C76">
        <v>1.2417356301808427</v>
      </c>
      <c r="D76">
        <f t="shared" si="2"/>
        <v>5.7326332219820308E-3</v>
      </c>
      <c r="F76">
        <f t="shared" si="3"/>
        <v>0.39555169231676013</v>
      </c>
    </row>
    <row r="77" spans="2:6" x14ac:dyDescent="0.2">
      <c r="B77">
        <v>70</v>
      </c>
      <c r="C77">
        <v>1.2440062686043607</v>
      </c>
      <c r="D77">
        <f t="shared" si="2"/>
        <v>3.4619947984639854E-3</v>
      </c>
      <c r="F77">
        <f t="shared" si="3"/>
        <v>0.24233963589247898</v>
      </c>
    </row>
    <row r="78" spans="2:6" x14ac:dyDescent="0.2">
      <c r="B78">
        <v>71</v>
      </c>
      <c r="C78">
        <v>1.2460073529720699</v>
      </c>
      <c r="D78">
        <f t="shared" si="2"/>
        <v>1.4609104307548026E-3</v>
      </c>
      <c r="F78">
        <f t="shared" si="3"/>
        <v>0.10372464058359099</v>
      </c>
    </row>
    <row r="79" spans="2:6" x14ac:dyDescent="0.2">
      <c r="B79">
        <v>72</v>
      </c>
      <c r="C79">
        <v>1.2477501981372043</v>
      </c>
      <c r="D79">
        <f t="shared" si="2"/>
        <v>2.8193473437965189E-4</v>
      </c>
      <c r="F79">
        <f t="shared" si="3"/>
        <v>2.0299300875334936E-2</v>
      </c>
    </row>
    <row r="80" spans="2:6" x14ac:dyDescent="0.2">
      <c r="B80">
        <v>73</v>
      </c>
      <c r="C80">
        <v>1.2492456257339459</v>
      </c>
      <c r="D80">
        <f t="shared" si="2"/>
        <v>1.7773623311212461E-3</v>
      </c>
      <c r="F80">
        <f t="shared" si="3"/>
        <v>0.12974745017185096</v>
      </c>
    </row>
    <row r="81" spans="2:6" x14ac:dyDescent="0.2">
      <c r="B81">
        <v>74</v>
      </c>
      <c r="C81">
        <v>1.250503986746536</v>
      </c>
      <c r="D81">
        <f t="shared" si="2"/>
        <v>3.0357233437112718E-3</v>
      </c>
      <c r="F81">
        <f t="shared" si="3"/>
        <v>0.22464352743463412</v>
      </c>
    </row>
    <row r="82" spans="2:6" x14ac:dyDescent="0.2">
      <c r="B82">
        <v>75</v>
      </c>
      <c r="C82">
        <v>1.2515351831164734</v>
      </c>
      <c r="D82">
        <f t="shared" si="2"/>
        <v>4.0669197136486979E-3</v>
      </c>
      <c r="F82">
        <f t="shared" si="3"/>
        <v>0.30501897852365234</v>
      </c>
    </row>
    <row r="83" spans="2:6" x14ac:dyDescent="0.2">
      <c r="B83">
        <v>76</v>
      </c>
      <c r="C83">
        <v>1.2523486883830015</v>
      </c>
      <c r="D83">
        <f t="shared" si="2"/>
        <v>4.8804249801768229E-3</v>
      </c>
      <c r="F83">
        <f t="shared" si="3"/>
        <v>0.37091229849343854</v>
      </c>
    </row>
    <row r="84" spans="2:6" x14ac:dyDescent="0.2">
      <c r="B84">
        <v>77</v>
      </c>
      <c r="C84">
        <v>1.2529535674208798</v>
      </c>
      <c r="D84">
        <f t="shared" si="2"/>
        <v>5.4853040180551371E-3</v>
      </c>
      <c r="F84">
        <f t="shared" si="3"/>
        <v>0.42236840939024556</v>
      </c>
    </row>
    <row r="85" spans="2:6" x14ac:dyDescent="0.2">
      <c r="B85">
        <v>78</v>
      </c>
      <c r="C85">
        <v>1.2533584952668957</v>
      </c>
      <c r="D85">
        <f t="shared" si="2"/>
        <v>5.890231864071005E-3</v>
      </c>
      <c r="F85">
        <f t="shared" si="3"/>
        <v>0.45943808539753839</v>
      </c>
    </row>
    <row r="86" spans="2:6" x14ac:dyDescent="0.2">
      <c r="B86">
        <v>79</v>
      </c>
      <c r="C86">
        <v>1.2535717750879487</v>
      </c>
      <c r="D86">
        <f t="shared" si="2"/>
        <v>6.103511685124019E-3</v>
      </c>
      <c r="F86">
        <f t="shared" si="3"/>
        <v>0.4821774231247975</v>
      </c>
    </row>
    <row r="87" spans="2:6" x14ac:dyDescent="0.2">
      <c r="B87">
        <v>80</v>
      </c>
      <c r="C87">
        <v>1.2536013553127576</v>
      </c>
      <c r="D87">
        <f t="shared" si="2"/>
        <v>6.1330919099329417E-3</v>
      </c>
      <c r="F87">
        <f t="shared" si="3"/>
        <v>0.49064735279463534</v>
      </c>
    </row>
    <row r="88" spans="2:6" x14ac:dyDescent="0.2">
      <c r="B88">
        <v>81</v>
      </c>
      <c r="C88">
        <v>1.2534548459612878</v>
      </c>
      <c r="D88">
        <f t="shared" si="2"/>
        <v>5.9865825584630716E-3</v>
      </c>
      <c r="F88">
        <f t="shared" si="3"/>
        <v>0.4849131872355088</v>
      </c>
    </row>
    <row r="89" spans="2:6" x14ac:dyDescent="0.2">
      <c r="B89">
        <v>82</v>
      </c>
      <c r="C89">
        <v>1.2531395342048348</v>
      </c>
      <c r="D89">
        <f t="shared" si="2"/>
        <v>5.671270802010131E-3</v>
      </c>
      <c r="F89">
        <f t="shared" si="3"/>
        <v>0.46504420576483074</v>
      </c>
    </row>
    <row r="90" spans="2:6" x14ac:dyDescent="0.2">
      <c r="B90">
        <v>83</v>
      </c>
      <c r="C90">
        <v>1.252662399190773</v>
      </c>
      <c r="D90">
        <f t="shared" si="2"/>
        <v>5.1941357879483618E-3</v>
      </c>
      <c r="F90">
        <f t="shared" si="3"/>
        <v>0.43111327039971403</v>
      </c>
    </row>
    <row r="91" spans="2:6" x14ac:dyDescent="0.2">
      <c r="B91">
        <v>84</v>
      </c>
      <c r="C91">
        <v>1.2520301261474629</v>
      </c>
      <c r="D91">
        <f t="shared" si="2"/>
        <v>4.5618627446382121E-3</v>
      </c>
      <c r="F91">
        <f t="shared" si="3"/>
        <v>0.38319647054960981</v>
      </c>
    </row>
    <row r="92" spans="2:6" x14ac:dyDescent="0.2">
      <c r="B92">
        <v>85</v>
      </c>
      <c r="C92">
        <v>1.2512491198335243</v>
      </c>
      <c r="D92">
        <f t="shared" si="2"/>
        <v>3.7808564306995862E-3</v>
      </c>
      <c r="F92">
        <f t="shared" si="3"/>
        <v>0.32137279660946483</v>
      </c>
    </row>
    <row r="93" spans="2:6" x14ac:dyDescent="0.2">
      <c r="B93">
        <v>86</v>
      </c>
      <c r="C93">
        <v>1.250325517327965</v>
      </c>
      <c r="D93">
        <f t="shared" si="2"/>
        <v>2.8572539251403573E-3</v>
      </c>
      <c r="F93">
        <f t="shared" si="3"/>
        <v>0.24572383756207072</v>
      </c>
    </row>
    <row r="94" spans="2:6" x14ac:dyDescent="0.2">
      <c r="B94">
        <v>87</v>
      </c>
      <c r="C94">
        <v>1.2492652002043689</v>
      </c>
      <c r="D94">
        <f t="shared" si="2"/>
        <v>1.7969368015442466E-3</v>
      </c>
      <c r="F94">
        <f t="shared" si="3"/>
        <v>0.15633350173434946</v>
      </c>
    </row>
    <row r="95" spans="2:6" x14ac:dyDescent="0.2">
      <c r="B95">
        <v>88</v>
      </c>
      <c r="C95">
        <v>1.2480738061254208</v>
      </c>
      <c r="D95">
        <f t="shared" si="2"/>
        <v>6.0554272259616404E-4</v>
      </c>
      <c r="F95">
        <f t="shared" si="3"/>
        <v>5.3287759588462436E-2</v>
      </c>
    </row>
    <row r="96" spans="2:6" x14ac:dyDescent="0.2">
      <c r="B96">
        <v>89</v>
      </c>
      <c r="C96">
        <v>1.2467567398733661</v>
      </c>
      <c r="D96">
        <f t="shared" si="2"/>
        <v>7.1152352945857977E-4</v>
      </c>
      <c r="F96">
        <f t="shared" si="3"/>
        <v>6.33255941218136E-2</v>
      </c>
    </row>
    <row r="97" spans="2:6" x14ac:dyDescent="0.2">
      <c r="B97">
        <v>90</v>
      </c>
      <c r="C97">
        <v>1.2453191838525983</v>
      </c>
      <c r="D97">
        <f t="shared" si="2"/>
        <v>2.1490795502263627E-3</v>
      </c>
      <c r="F97">
        <f t="shared" si="3"/>
        <v>0.19341715952037264</v>
      </c>
    </row>
    <row r="98" spans="2:6" x14ac:dyDescent="0.2">
      <c r="B98">
        <v>91</v>
      </c>
      <c r="C98">
        <v>1.24376610807613</v>
      </c>
      <c r="D98">
        <f t="shared" si="2"/>
        <v>3.7021553266947116E-3</v>
      </c>
      <c r="F98">
        <f t="shared" si="3"/>
        <v>0.33689613472921875</v>
      </c>
    </row>
    <row r="99" spans="2:6" x14ac:dyDescent="0.2">
      <c r="B99">
        <v>92</v>
      </c>
      <c r="C99">
        <v>1.2421022796778789</v>
      </c>
      <c r="D99">
        <f t="shared" si="2"/>
        <v>5.3659837249457887E-3</v>
      </c>
      <c r="F99">
        <f t="shared" si="3"/>
        <v>0.49367050269501256</v>
      </c>
    </row>
    <row r="100" spans="2:6" x14ac:dyDescent="0.2">
      <c r="B100">
        <v>93</v>
      </c>
      <c r="C100">
        <v>1.2403322719712535</v>
      </c>
      <c r="D100">
        <f t="shared" si="2"/>
        <v>7.1359914315711759E-3</v>
      </c>
      <c r="F100">
        <f t="shared" si="3"/>
        <v>0.66364720313611936</v>
      </c>
    </row>
    <row r="101" spans="2:6" x14ac:dyDescent="0.2">
      <c r="B101">
        <v>94</v>
      </c>
      <c r="C101">
        <v>1.2384604730555586</v>
      </c>
      <c r="D101">
        <f t="shared" si="2"/>
        <v>9.0077903472660648E-3</v>
      </c>
      <c r="F101">
        <f t="shared" si="3"/>
        <v>0.84673229264301009</v>
      </c>
    </row>
    <row r="102" spans="2:6" x14ac:dyDescent="0.2">
      <c r="B102">
        <v>95</v>
      </c>
      <c r="C102">
        <v>1.2378608057154703</v>
      </c>
      <c r="D102">
        <f t="shared" si="2"/>
        <v>9.6074576873543815E-3</v>
      </c>
      <c r="F102">
        <f t="shared" si="3"/>
        <v>0.91270848029866625</v>
      </c>
    </row>
    <row r="103" spans="2:6" x14ac:dyDescent="0.2">
      <c r="B103">
        <v>96</v>
      </c>
      <c r="C103">
        <v>1.2396839754515945</v>
      </c>
      <c r="D103">
        <f t="shared" si="2"/>
        <v>7.7842879512302066E-3</v>
      </c>
      <c r="F103">
        <f t="shared" si="3"/>
        <v>0.74729164331809983</v>
      </c>
    </row>
    <row r="104" spans="2:6" x14ac:dyDescent="0.2">
      <c r="B104">
        <v>97</v>
      </c>
      <c r="C104">
        <v>1.2413621807274815</v>
      </c>
      <c r="D104">
        <f t="shared" si="2"/>
        <v>6.1060826753431829E-3</v>
      </c>
      <c r="F104">
        <f t="shared" si="3"/>
        <v>0.59229001950828875</v>
      </c>
    </row>
    <row r="105" spans="2:6" x14ac:dyDescent="0.2">
      <c r="B105">
        <v>98</v>
      </c>
      <c r="C105">
        <v>1.2428998163202738</v>
      </c>
      <c r="D105">
        <f t="shared" si="2"/>
        <v>4.5684470825508861E-3</v>
      </c>
      <c r="F105">
        <f t="shared" si="3"/>
        <v>0.44770781408998683</v>
      </c>
    </row>
    <row r="106" spans="2:6" x14ac:dyDescent="0.2">
      <c r="B106">
        <v>99</v>
      </c>
      <c r="C106">
        <v>1.2443011384782505</v>
      </c>
      <c r="D106">
        <f t="shared" si="2"/>
        <v>3.1671249245741606E-3</v>
      </c>
      <c r="F106">
        <f t="shared" si="3"/>
        <v>0.3135453675328419</v>
      </c>
    </row>
    <row r="107" spans="2:6" x14ac:dyDescent="0.2">
      <c r="B107">
        <v>100</v>
      </c>
      <c r="C107">
        <v>1.2455702694784829</v>
      </c>
      <c r="D107">
        <f t="shared" si="2"/>
        <v>1.8979939243417565E-3</v>
      </c>
      <c r="F107">
        <f t="shared" si="3"/>
        <v>0.18979939243417565</v>
      </c>
    </row>
    <row r="108" spans="2:6" x14ac:dyDescent="0.2">
      <c r="B108">
        <v>101</v>
      </c>
      <c r="C108">
        <v>1.2467112020381452</v>
      </c>
      <c r="D108">
        <f t="shared" si="2"/>
        <v>7.5706136467945662E-4</v>
      </c>
      <c r="F108">
        <f t="shared" si="3"/>
        <v>7.6463197832625118E-2</v>
      </c>
    </row>
    <row r="109" spans="2:6" x14ac:dyDescent="0.2">
      <c r="B109">
        <v>102</v>
      </c>
      <c r="C109">
        <v>1.2477278035845356</v>
      </c>
      <c r="D109">
        <f t="shared" si="2"/>
        <v>2.5954018171092663E-4</v>
      </c>
      <c r="F109">
        <f t="shared" si="3"/>
        <v>2.6473098534514516E-2</v>
      </c>
    </row>
    <row r="110" spans="2:6" x14ac:dyDescent="0.2">
      <c r="B110">
        <v>103</v>
      </c>
      <c r="C110">
        <v>1.2486238204127766</v>
      </c>
      <c r="D110">
        <f t="shared" si="2"/>
        <v>1.1555570099519574E-3</v>
      </c>
      <c r="F110">
        <f t="shared" si="3"/>
        <v>0.11902237202505161</v>
      </c>
    </row>
    <row r="111" spans="2:6" x14ac:dyDescent="0.2">
      <c r="B111">
        <v>104</v>
      </c>
      <c r="C111">
        <v>1.2494028816893061</v>
      </c>
      <c r="D111">
        <f t="shared" si="2"/>
        <v>1.9346182864814487E-3</v>
      </c>
      <c r="F111">
        <f t="shared" si="3"/>
        <v>0.20120030179407067</v>
      </c>
    </row>
    <row r="112" spans="2:6" x14ac:dyDescent="0.2">
      <c r="B112">
        <v>105</v>
      </c>
      <c r="C112">
        <v>1.2500685033489678</v>
      </c>
      <c r="D112">
        <f t="shared" si="2"/>
        <v>2.6002399461431125E-3</v>
      </c>
      <c r="F112">
        <f t="shared" si="3"/>
        <v>0.27302519434502681</v>
      </c>
    </row>
    <row r="113" spans="2:6" x14ac:dyDescent="0.2">
      <c r="B113">
        <v>106</v>
      </c>
      <c r="C113">
        <v>1.2506240918502631</v>
      </c>
      <c r="D113">
        <f t="shared" si="2"/>
        <v>3.1558284474384468E-3</v>
      </c>
      <c r="F113">
        <f t="shared" si="3"/>
        <v>0.33451781542847536</v>
      </c>
    </row>
    <row r="114" spans="2:6" x14ac:dyDescent="0.2">
      <c r="B114">
        <v>107</v>
      </c>
      <c r="C114">
        <v>1.2510729478209595</v>
      </c>
      <c r="D114">
        <f t="shared" si="2"/>
        <v>3.6046844181347737E-3</v>
      </c>
      <c r="F114">
        <f t="shared" si="3"/>
        <v>0.38570123274042079</v>
      </c>
    </row>
    <row r="115" spans="2:6" x14ac:dyDescent="0.2">
      <c r="B115">
        <v>108</v>
      </c>
      <c r="C115">
        <v>1.2514182695700926</v>
      </c>
      <c r="D115">
        <f t="shared" si="2"/>
        <v>3.9500061672679276E-3</v>
      </c>
      <c r="F115">
        <f t="shared" si="3"/>
        <v>0.42660066606493618</v>
      </c>
    </row>
    <row r="116" spans="2:6" x14ac:dyDescent="0.2">
      <c r="B116">
        <v>109</v>
      </c>
      <c r="C116">
        <v>1.2516631564959542</v>
      </c>
      <c r="D116">
        <f t="shared" si="2"/>
        <v>4.1948930931294814E-3</v>
      </c>
      <c r="F116">
        <f t="shared" si="3"/>
        <v>0.45724334715111348</v>
      </c>
    </row>
    <row r="117" spans="2:6" x14ac:dyDescent="0.2">
      <c r="B117">
        <v>110</v>
      </c>
      <c r="C117">
        <v>1.2518106123689929</v>
      </c>
      <c r="D117">
        <f t="shared" si="2"/>
        <v>4.3423489661682524E-3</v>
      </c>
      <c r="F117">
        <f t="shared" si="3"/>
        <v>0.47765838627850776</v>
      </c>
    </row>
    <row r="118" spans="2:6" x14ac:dyDescent="0.2">
      <c r="B118">
        <v>111</v>
      </c>
      <c r="C118">
        <v>1.2518635485204372</v>
      </c>
      <c r="D118">
        <f t="shared" si="2"/>
        <v>4.3952851176125574E-3</v>
      </c>
      <c r="F118">
        <f t="shared" si="3"/>
        <v>0.48787664805499387</v>
      </c>
    </row>
    <row r="119" spans="2:6" x14ac:dyDescent="0.2">
      <c r="B119">
        <v>112</v>
      </c>
      <c r="C119">
        <v>1.2518247869012882</v>
      </c>
      <c r="D119">
        <f t="shared" si="2"/>
        <v>4.3565234984634937E-3</v>
      </c>
      <c r="F119">
        <f t="shared" si="3"/>
        <v>0.4879306318279113</v>
      </c>
    </row>
    <row r="120" spans="2:6" x14ac:dyDescent="0.2">
      <c r="B120">
        <v>113</v>
      </c>
      <c r="C120">
        <v>1.2516970630501214</v>
      </c>
      <c r="D120">
        <f t="shared" si="2"/>
        <v>4.2287996472967215E-3</v>
      </c>
      <c r="F120">
        <f t="shared" si="3"/>
        <v>0.47785436014452953</v>
      </c>
    </row>
    <row r="121" spans="2:6" x14ac:dyDescent="0.2">
      <c r="B121">
        <v>114</v>
      </c>
      <c r="C121">
        <v>1.2514830289641239</v>
      </c>
      <c r="D121">
        <f t="shared" si="2"/>
        <v>4.014765561299205E-3</v>
      </c>
      <c r="F121">
        <f t="shared" si="3"/>
        <v>0.45768327398810937</v>
      </c>
    </row>
    <row r="122" spans="2:6" x14ac:dyDescent="0.2">
      <c r="B122">
        <v>115</v>
      </c>
      <c r="C122">
        <v>1.2511852558582508</v>
      </c>
      <c r="D122">
        <f t="shared" si="2"/>
        <v>3.7169924554261158E-3</v>
      </c>
      <c r="F122">
        <f t="shared" si="3"/>
        <v>0.42745413237400331</v>
      </c>
    </row>
    <row r="123" spans="2:6" x14ac:dyDescent="0.2">
      <c r="B123">
        <v>116</v>
      </c>
      <c r="C123">
        <v>1.2508062368361708</v>
      </c>
      <c r="D123">
        <f t="shared" si="2"/>
        <v>3.3379734333460753E-3</v>
      </c>
      <c r="F123">
        <f t="shared" si="3"/>
        <v>0.38720491826814474</v>
      </c>
    </row>
    <row r="124" spans="2:6" x14ac:dyDescent="0.2">
      <c r="B124">
        <v>117</v>
      </c>
      <c r="C124">
        <v>1.2503483894721299</v>
      </c>
      <c r="D124">
        <f t="shared" si="2"/>
        <v>2.8801260693052111E-3</v>
      </c>
      <c r="F124">
        <f t="shared" si="3"/>
        <v>0.3369747501087097</v>
      </c>
    </row>
    <row r="125" spans="2:6" x14ac:dyDescent="0.2">
      <c r="B125">
        <v>118</v>
      </c>
      <c r="C125">
        <v>1.2498140583005075</v>
      </c>
      <c r="D125">
        <f t="shared" si="2"/>
        <v>2.3457948976828291E-3</v>
      </c>
      <c r="F125">
        <f t="shared" si="3"/>
        <v>0.27680379792657384</v>
      </c>
    </row>
    <row r="126" spans="2:6" x14ac:dyDescent="0.2">
      <c r="B126">
        <v>119</v>
      </c>
      <c r="C126">
        <v>1.2492055172100911</v>
      </c>
      <c r="D126">
        <f t="shared" si="2"/>
        <v>1.7372538072664145E-3</v>
      </c>
      <c r="F126">
        <f t="shared" si="3"/>
        <v>0.20673320306470333</v>
      </c>
    </row>
    <row r="127" spans="2:6" x14ac:dyDescent="0.2">
      <c r="B127">
        <v>120</v>
      </c>
      <c r="C127">
        <v>1.2485249717776641</v>
      </c>
      <c r="D127">
        <f t="shared" si="2"/>
        <v>1.0567083748393991E-3</v>
      </c>
      <c r="F127">
        <f t="shared" si="3"/>
        <v>0.12680500498072789</v>
      </c>
    </row>
    <row r="128" spans="2:6" x14ac:dyDescent="0.2">
      <c r="B128">
        <v>121</v>
      </c>
      <c r="C128">
        <v>1.2477745614924307</v>
      </c>
      <c r="D128">
        <f t="shared" si="2"/>
        <v>3.0629808960602745E-4</v>
      </c>
      <c r="F128">
        <f t="shared" si="3"/>
        <v>3.7062068842329321E-2</v>
      </c>
    </row>
    <row r="129" spans="2:6" x14ac:dyDescent="0.2">
      <c r="B129">
        <v>122</v>
      </c>
      <c r="C129">
        <v>1.2469563619268944</v>
      </c>
      <c r="D129">
        <f t="shared" si="2"/>
        <v>5.1190147593027646E-4</v>
      </c>
      <c r="F129">
        <f t="shared" si="3"/>
        <v>6.2451980063493728E-2</v>
      </c>
    </row>
    <row r="130" spans="2:6" x14ac:dyDescent="0.2">
      <c r="B130">
        <v>123</v>
      </c>
      <c r="C130">
        <v>1.2460723868173467</v>
      </c>
      <c r="D130">
        <f t="shared" si="2"/>
        <v>1.3958765854780175E-3</v>
      </c>
      <c r="F130">
        <f t="shared" si="3"/>
        <v>0.17169282001379615</v>
      </c>
    </row>
    <row r="131" spans="2:6" x14ac:dyDescent="0.2">
      <c r="B131">
        <v>124</v>
      </c>
      <c r="C131">
        <v>1.2451245900776449</v>
      </c>
      <c r="D131">
        <f t="shared" si="2"/>
        <v>2.3436733251798181E-3</v>
      </c>
      <c r="F131">
        <f t="shared" si="3"/>
        <v>0.29061549232229744</v>
      </c>
    </row>
    <row r="132" spans="2:6" x14ac:dyDescent="0.2">
      <c r="B132">
        <v>125</v>
      </c>
      <c r="C132">
        <v>1.2441148677417508</v>
      </c>
      <c r="D132">
        <f t="shared" si="2"/>
        <v>3.3533956610738436E-3</v>
      </c>
      <c r="F132">
        <f t="shared" si="3"/>
        <v>0.41917445763423045</v>
      </c>
    </row>
    <row r="133" spans="2:6" x14ac:dyDescent="0.2">
      <c r="B133">
        <v>126</v>
      </c>
      <c r="C133">
        <v>1.2430450598430978</v>
      </c>
      <c r="D133">
        <f t="shared" si="2"/>
        <v>4.4232035597269181E-3</v>
      </c>
      <c r="F133">
        <f t="shared" si="3"/>
        <v>0.55732364852559169</v>
      </c>
    </row>
    <row r="134" spans="2:6" x14ac:dyDescent="0.2">
      <c r="B134">
        <v>127</v>
      </c>
      <c r="C134">
        <v>1.2419169522121249</v>
      </c>
      <c r="D134">
        <f t="shared" si="2"/>
        <v>5.551311190699737E-3</v>
      </c>
      <c r="F134">
        <f t="shared" si="3"/>
        <v>0.7050165212188666</v>
      </c>
    </row>
    <row r="135" spans="2:6" x14ac:dyDescent="0.2">
      <c r="B135">
        <v>128</v>
      </c>
      <c r="C135">
        <v>1.240732278240021</v>
      </c>
      <c r="D135">
        <f t="shared" si="2"/>
        <v>6.7359851628037148E-3</v>
      </c>
      <c r="F135">
        <f t="shared" si="3"/>
        <v>0.8622061008388755</v>
      </c>
    </row>
    <row r="136" spans="2:6" x14ac:dyDescent="0.2">
      <c r="B136">
        <v>129</v>
      </c>
      <c r="C136">
        <v>1.2403203973091723</v>
      </c>
      <c r="D136">
        <f t="shared" si="2"/>
        <v>7.1478660936523664E-3</v>
      </c>
      <c r="F136">
        <f t="shared" si="3"/>
        <v>0.92207472608115526</v>
      </c>
    </row>
    <row r="137" spans="2:6" x14ac:dyDescent="0.2">
      <c r="B137">
        <v>130</v>
      </c>
      <c r="C137">
        <v>1.2414846905896022</v>
      </c>
      <c r="D137">
        <f t="shared" ref="D137:D200" si="4">ABS(C137-$E$8)</f>
        <v>5.9835728132224819E-3</v>
      </c>
      <c r="F137">
        <f t="shared" ref="F137:F200" si="5">D137*B137</f>
        <v>0.77786446571892265</v>
      </c>
    </row>
    <row r="138" spans="2:6" x14ac:dyDescent="0.2">
      <c r="B138">
        <v>131</v>
      </c>
      <c r="C138">
        <v>1.2425715766031173</v>
      </c>
      <c r="D138">
        <f t="shared" si="4"/>
        <v>4.8966867997073393E-3</v>
      </c>
      <c r="F138">
        <f t="shared" si="5"/>
        <v>0.64146597076166145</v>
      </c>
    </row>
    <row r="139" spans="2:6" x14ac:dyDescent="0.2">
      <c r="B139">
        <v>132</v>
      </c>
      <c r="C139">
        <v>1.2435828217465841</v>
      </c>
      <c r="D139">
        <f t="shared" si="4"/>
        <v>3.8854416562406069E-3</v>
      </c>
      <c r="F139">
        <f t="shared" si="5"/>
        <v>0.51287829862376011</v>
      </c>
    </row>
    <row r="140" spans="2:6" x14ac:dyDescent="0.2">
      <c r="B140">
        <v>133</v>
      </c>
      <c r="C140">
        <v>1.2445201504951662</v>
      </c>
      <c r="D140">
        <f t="shared" si="4"/>
        <v>2.9481129076585066E-3</v>
      </c>
      <c r="F140">
        <f t="shared" si="5"/>
        <v>0.39209901671858138</v>
      </c>
    </row>
    <row r="141" spans="2:6" x14ac:dyDescent="0.2">
      <c r="B141">
        <v>134</v>
      </c>
      <c r="C141">
        <v>1.2453852464437236</v>
      </c>
      <c r="D141">
        <f t="shared" si="4"/>
        <v>2.0830169591010694E-3</v>
      </c>
      <c r="F141">
        <f t="shared" si="5"/>
        <v>0.2791242725195433</v>
      </c>
    </row>
    <row r="142" spans="2:6" x14ac:dyDescent="0.2">
      <c r="B142">
        <v>135</v>
      </c>
      <c r="C142">
        <v>1.246179753336156</v>
      </c>
      <c r="D142">
        <f t="shared" si="4"/>
        <v>1.2885100666686355E-3</v>
      </c>
      <c r="F142">
        <f t="shared" si="5"/>
        <v>0.1739488590002658</v>
      </c>
    </row>
    <row r="143" spans="2:6" x14ac:dyDescent="0.2">
      <c r="B143">
        <v>136</v>
      </c>
      <c r="C143">
        <v>1.246905276047046</v>
      </c>
      <c r="D143">
        <f t="shared" si="4"/>
        <v>5.6298735577864356E-4</v>
      </c>
      <c r="F143">
        <f t="shared" si="5"/>
        <v>7.6566280385895524E-2</v>
      </c>
    </row>
    <row r="144" spans="2:6" x14ac:dyDescent="0.2">
      <c r="B144">
        <v>137</v>
      </c>
      <c r="C144">
        <v>1.2475633815680918</v>
      </c>
      <c r="D144">
        <f t="shared" si="4"/>
        <v>9.5118165267082944E-5</v>
      </c>
      <c r="F144">
        <f t="shared" si="5"/>
        <v>1.3031188641590363E-2</v>
      </c>
    </row>
    <row r="145" spans="2:6" x14ac:dyDescent="0.2">
      <c r="B145">
        <v>138</v>
      </c>
      <c r="C145">
        <v>1.2481555999449852</v>
      </c>
      <c r="D145">
        <f t="shared" si="4"/>
        <v>6.8733654216046602E-4</v>
      </c>
      <c r="F145">
        <f t="shared" si="5"/>
        <v>9.4852442818144311E-2</v>
      </c>
    </row>
    <row r="146" spans="2:6" x14ac:dyDescent="0.2">
      <c r="B146">
        <v>139</v>
      </c>
      <c r="C146">
        <v>1.2486834252065822</v>
      </c>
      <c r="D146">
        <f t="shared" si="4"/>
        <v>1.2151618037574696E-3</v>
      </c>
      <c r="F146">
        <f t="shared" si="5"/>
        <v>0.16890749072228828</v>
      </c>
    </row>
    <row r="147" spans="2:6" x14ac:dyDescent="0.2">
      <c r="B147">
        <v>140</v>
      </c>
      <c r="C147">
        <v>1.2491483162718842</v>
      </c>
      <c r="D147">
        <f t="shared" si="4"/>
        <v>1.6800528690594785E-3</v>
      </c>
      <c r="F147">
        <f t="shared" si="5"/>
        <v>0.23520740166832699</v>
      </c>
    </row>
    <row r="148" spans="2:6" x14ac:dyDescent="0.2">
      <c r="B148">
        <v>141</v>
      </c>
      <c r="C148">
        <v>1.2495516978317998</v>
      </c>
      <c r="D148">
        <f t="shared" si="4"/>
        <v>2.0834344289750728E-3</v>
      </c>
      <c r="F148">
        <f t="shared" si="5"/>
        <v>0.29376425448548527</v>
      </c>
    </row>
    <row r="149" spans="2:6" x14ac:dyDescent="0.2">
      <c r="B149">
        <v>142</v>
      </c>
      <c r="C149">
        <v>1.2498949611954311</v>
      </c>
      <c r="D149">
        <f t="shared" si="4"/>
        <v>2.4266977926064026E-3</v>
      </c>
      <c r="F149">
        <f t="shared" si="5"/>
        <v>0.34459108655010917</v>
      </c>
    </row>
    <row r="150" spans="2:6" x14ac:dyDescent="0.2">
      <c r="B150">
        <v>143</v>
      </c>
      <c r="C150">
        <v>1.2501794651483911</v>
      </c>
      <c r="D150">
        <f t="shared" si="4"/>
        <v>2.7112017455663828E-3</v>
      </c>
      <c r="F150">
        <f t="shared" si="5"/>
        <v>0.38770184961599274</v>
      </c>
    </row>
    <row r="151" spans="2:6" x14ac:dyDescent="0.2">
      <c r="B151">
        <v>144</v>
      </c>
      <c r="C151">
        <v>1.2504065367514745</v>
      </c>
      <c r="D151">
        <f t="shared" si="4"/>
        <v>2.9382733486498225E-3</v>
      </c>
      <c r="F151">
        <f t="shared" si="5"/>
        <v>0.42311136220557444</v>
      </c>
    </row>
    <row r="152" spans="2:6" x14ac:dyDescent="0.2">
      <c r="B152">
        <v>145</v>
      </c>
      <c r="C152">
        <v>1.2505774721457414</v>
      </c>
      <c r="D152">
        <f t="shared" si="4"/>
        <v>3.1092087429167581E-3</v>
      </c>
      <c r="F152">
        <f t="shared" si="5"/>
        <v>0.45083526772292992</v>
      </c>
    </row>
    <row r="153" spans="2:6" x14ac:dyDescent="0.2">
      <c r="B153">
        <v>146</v>
      </c>
      <c r="C153">
        <v>1.2506935373258441</v>
      </c>
      <c r="D153">
        <f t="shared" si="4"/>
        <v>3.2252739230194116E-3</v>
      </c>
      <c r="F153">
        <f t="shared" si="5"/>
        <v>0.4708899927608341</v>
      </c>
    </row>
    <row r="154" spans="2:6" x14ac:dyDescent="0.2">
      <c r="B154">
        <v>147</v>
      </c>
      <c r="C154">
        <v>1.2507559688998851</v>
      </c>
      <c r="D154">
        <f t="shared" si="4"/>
        <v>3.287705497060367E-3</v>
      </c>
      <c r="F154">
        <f t="shared" si="5"/>
        <v>0.48329270806787394</v>
      </c>
    </row>
    <row r="155" spans="2:6" x14ac:dyDescent="0.2">
      <c r="B155">
        <v>148</v>
      </c>
      <c r="C155">
        <v>1.2507659748214572</v>
      </c>
      <c r="D155">
        <f t="shared" si="4"/>
        <v>3.297711418632554E-3</v>
      </c>
      <c r="F155">
        <f t="shared" si="5"/>
        <v>0.48806128995761799</v>
      </c>
    </row>
    <row r="156" spans="2:6" x14ac:dyDescent="0.2">
      <c r="B156">
        <v>149</v>
      </c>
      <c r="C156">
        <v>1.2507247351050987</v>
      </c>
      <c r="D156">
        <f t="shared" si="4"/>
        <v>3.2564717022740552E-3</v>
      </c>
      <c r="F156">
        <f t="shared" si="5"/>
        <v>0.48521428363883423</v>
      </c>
    </row>
    <row r="157" spans="2:6" x14ac:dyDescent="0.2">
      <c r="B157">
        <v>150</v>
      </c>
      <c r="C157">
        <v>1.2506334025363446</v>
      </c>
      <c r="D157">
        <f t="shared" si="4"/>
        <v>3.1651391335199008E-3</v>
      </c>
      <c r="F157">
        <f t="shared" si="5"/>
        <v>0.47477087002798513</v>
      </c>
    </row>
    <row r="158" spans="2:6" x14ac:dyDescent="0.2">
      <c r="B158">
        <v>151</v>
      </c>
      <c r="C158">
        <v>1.2504931033396438</v>
      </c>
      <c r="D158">
        <f t="shared" si="4"/>
        <v>3.0248399368191237E-3</v>
      </c>
      <c r="F158">
        <f t="shared" si="5"/>
        <v>0.45675083045968767</v>
      </c>
    </row>
    <row r="159" spans="2:6" x14ac:dyDescent="0.2">
      <c r="B159">
        <v>152</v>
      </c>
      <c r="C159">
        <v>1.2503049378565882</v>
      </c>
      <c r="D159">
        <f t="shared" si="4"/>
        <v>2.8366744537635658E-3</v>
      </c>
      <c r="F159">
        <f t="shared" si="5"/>
        <v>0.43117451697206199</v>
      </c>
    </row>
    <row r="160" spans="2:6" x14ac:dyDescent="0.2">
      <c r="B160">
        <v>153</v>
      </c>
      <c r="C160">
        <v>1.2500699811785265</v>
      </c>
      <c r="D160">
        <f t="shared" si="4"/>
        <v>2.6017177757018395E-3</v>
      </c>
      <c r="F160">
        <f t="shared" si="5"/>
        <v>0.39806281968238144</v>
      </c>
    </row>
    <row r="161" spans="2:6" x14ac:dyDescent="0.2">
      <c r="B161">
        <v>154</v>
      </c>
      <c r="C161">
        <v>1.2497892837792191</v>
      </c>
      <c r="D161">
        <f t="shared" si="4"/>
        <v>2.3210203763943671E-3</v>
      </c>
      <c r="F161">
        <f t="shared" si="5"/>
        <v>0.35743713796473253</v>
      </c>
    </row>
    <row r="162" spans="2:6" x14ac:dyDescent="0.2">
      <c r="B162">
        <v>155</v>
      </c>
      <c r="C162">
        <v>1.2494638721393116</v>
      </c>
      <c r="D162">
        <f t="shared" si="4"/>
        <v>1.9956087364869646E-3</v>
      </c>
      <c r="F162">
        <f t="shared" si="5"/>
        <v>0.30931935415547951</v>
      </c>
    </row>
    <row r="163" spans="2:6" x14ac:dyDescent="0.2">
      <c r="B163">
        <v>156</v>
      </c>
      <c r="C163">
        <v>1.2490947493300337</v>
      </c>
      <c r="D163">
        <f t="shared" si="4"/>
        <v>1.6264859272090426E-3</v>
      </c>
      <c r="F163">
        <f t="shared" si="5"/>
        <v>0.25373180464461065</v>
      </c>
    </row>
    <row r="164" spans="2:6" x14ac:dyDescent="0.2">
      <c r="B164">
        <v>157</v>
      </c>
      <c r="C164">
        <v>1.2486828955938825</v>
      </c>
      <c r="D164">
        <f t="shared" si="4"/>
        <v>1.214632191057774E-3</v>
      </c>
      <c r="F164">
        <f t="shared" si="5"/>
        <v>0.19069725399607051</v>
      </c>
    </row>
    <row r="165" spans="2:6" x14ac:dyDescent="0.2">
      <c r="B165">
        <v>158</v>
      </c>
      <c r="C165">
        <v>1.2482292689240726</v>
      </c>
      <c r="D165">
        <f t="shared" si="4"/>
        <v>7.6100552124791498E-4</v>
      </c>
      <c r="F165">
        <f t="shared" si="5"/>
        <v>0.12023887235717057</v>
      </c>
    </row>
    <row r="166" spans="2:6" x14ac:dyDescent="0.2">
      <c r="B166">
        <v>159</v>
      </c>
      <c r="C166">
        <v>1.2477348056025805</v>
      </c>
      <c r="D166">
        <f t="shared" si="4"/>
        <v>2.6654219975585924E-4</v>
      </c>
      <c r="F166">
        <f t="shared" si="5"/>
        <v>4.238020976118162E-2</v>
      </c>
    </row>
    <row r="167" spans="2:6" x14ac:dyDescent="0.2">
      <c r="B167">
        <v>160</v>
      </c>
      <c r="C167">
        <v>1.2472004207460632</v>
      </c>
      <c r="D167">
        <f t="shared" si="4"/>
        <v>2.6784265676149666E-4</v>
      </c>
      <c r="F167">
        <f t="shared" si="5"/>
        <v>4.2854825081839465E-2</v>
      </c>
    </row>
    <row r="168" spans="2:6" x14ac:dyDescent="0.2">
      <c r="B168">
        <v>161</v>
      </c>
      <c r="C168">
        <v>1.2466270088252669</v>
      </c>
      <c r="D168">
        <f t="shared" si="4"/>
        <v>8.4125457755779287E-4</v>
      </c>
      <c r="F168">
        <f t="shared" si="5"/>
        <v>0.13544198698680465</v>
      </c>
    </row>
    <row r="169" spans="2:6" x14ac:dyDescent="0.2">
      <c r="B169">
        <v>162</v>
      </c>
      <c r="C169">
        <v>1.2460154441648872</v>
      </c>
      <c r="D169">
        <f t="shared" si="4"/>
        <v>1.4528192379374971E-3</v>
      </c>
      <c r="F169">
        <f t="shared" si="5"/>
        <v>0.23535671654587453</v>
      </c>
    </row>
    <row r="170" spans="2:6" x14ac:dyDescent="0.2">
      <c r="B170">
        <v>163</v>
      </c>
      <c r="C170">
        <v>1.2453665814559594</v>
      </c>
      <c r="D170">
        <f t="shared" si="4"/>
        <v>2.1016819468653303E-3</v>
      </c>
      <c r="F170">
        <f t="shared" si="5"/>
        <v>0.34257415733904883</v>
      </c>
    </row>
    <row r="171" spans="2:6" x14ac:dyDescent="0.2">
      <c r="B171">
        <v>164</v>
      </c>
      <c r="C171">
        <v>1.2446812562275174</v>
      </c>
      <c r="D171">
        <f t="shared" si="4"/>
        <v>2.7870071753073322E-3</v>
      </c>
      <c r="F171">
        <f t="shared" si="5"/>
        <v>0.45706917675040248</v>
      </c>
    </row>
    <row r="172" spans="2:6" x14ac:dyDescent="0.2">
      <c r="B172">
        <v>165</v>
      </c>
      <c r="C172">
        <v>1.2439602853205798</v>
      </c>
      <c r="D172">
        <f t="shared" si="4"/>
        <v>3.5079780822449003E-3</v>
      </c>
      <c r="F172">
        <f t="shared" si="5"/>
        <v>0.57881638357040854</v>
      </c>
    </row>
    <row r="173" spans="2:6" x14ac:dyDescent="0.2">
      <c r="B173">
        <v>166</v>
      </c>
      <c r="C173">
        <v>1.2432044673419609</v>
      </c>
      <c r="D173">
        <f t="shared" si="4"/>
        <v>4.2637960608638004E-3</v>
      </c>
      <c r="F173">
        <f t="shared" si="5"/>
        <v>0.70779014610339086</v>
      </c>
    </row>
    <row r="174" spans="2:6" x14ac:dyDescent="0.2">
      <c r="B174">
        <v>167</v>
      </c>
      <c r="C174">
        <v>1.2424145831123887</v>
      </c>
      <c r="D174">
        <f t="shared" si="4"/>
        <v>5.0536802904359579E-3</v>
      </c>
      <c r="F174">
        <f t="shared" si="5"/>
        <v>0.84396460850280497</v>
      </c>
    </row>
    <row r="175" spans="2:6" x14ac:dyDescent="0.2">
      <c r="B175">
        <v>168</v>
      </c>
      <c r="C175">
        <v>1.2417719657486164</v>
      </c>
      <c r="D175">
        <f t="shared" si="4"/>
        <v>5.6962976542083155E-3</v>
      </c>
      <c r="F175">
        <f t="shared" si="5"/>
        <v>0.956978005906997</v>
      </c>
    </row>
    <row r="176" spans="2:6" x14ac:dyDescent="0.2">
      <c r="B176">
        <v>169</v>
      </c>
      <c r="C176">
        <v>1.2425694902039111</v>
      </c>
      <c r="D176">
        <f t="shared" si="4"/>
        <v>4.8987731989136307E-3</v>
      </c>
      <c r="F176">
        <f t="shared" si="5"/>
        <v>0.82789267061640359</v>
      </c>
    </row>
    <row r="177" spans="2:6" x14ac:dyDescent="0.2">
      <c r="B177">
        <v>170</v>
      </c>
      <c r="C177">
        <v>1.2433219128368904</v>
      </c>
      <c r="D177">
        <f t="shared" si="4"/>
        <v>4.1463505659342648E-3</v>
      </c>
      <c r="F177">
        <f t="shared" si="5"/>
        <v>0.70487959620882501</v>
      </c>
    </row>
    <row r="178" spans="2:6" x14ac:dyDescent="0.2">
      <c r="B178">
        <v>171</v>
      </c>
      <c r="C178">
        <v>1.2440300360335341</v>
      </c>
      <c r="D178">
        <f t="shared" si="4"/>
        <v>3.4382273692905585E-3</v>
      </c>
      <c r="F178">
        <f t="shared" si="5"/>
        <v>0.5879368801486855</v>
      </c>
    </row>
    <row r="179" spans="2:6" x14ac:dyDescent="0.2">
      <c r="B179">
        <v>172</v>
      </c>
      <c r="C179">
        <v>1.2446946473377722</v>
      </c>
      <c r="D179">
        <f t="shared" si="4"/>
        <v>2.7736160650524422E-3</v>
      </c>
      <c r="F179">
        <f t="shared" si="5"/>
        <v>0.47706196318902006</v>
      </c>
    </row>
    <row r="180" spans="2:6" x14ac:dyDescent="0.2">
      <c r="B180">
        <v>173</v>
      </c>
      <c r="C180">
        <v>1.24531651973143</v>
      </c>
      <c r="D180">
        <f t="shared" si="4"/>
        <v>2.1517436713947014E-3</v>
      </c>
      <c r="F180">
        <f t="shared" si="5"/>
        <v>0.37225165515128333</v>
      </c>
    </row>
    <row r="181" spans="2:6" x14ac:dyDescent="0.2">
      <c r="B181">
        <v>174</v>
      </c>
      <c r="C181">
        <v>1.2458964119327527</v>
      </c>
      <c r="D181">
        <f t="shared" si="4"/>
        <v>1.5718514700719943E-3</v>
      </c>
      <c r="F181">
        <f t="shared" si="5"/>
        <v>0.27350215579252701</v>
      </c>
    </row>
    <row r="182" spans="2:6" x14ac:dyDescent="0.2">
      <c r="B182">
        <v>175</v>
      </c>
      <c r="C182">
        <v>1.2464350686635177</v>
      </c>
      <c r="D182">
        <f t="shared" si="4"/>
        <v>1.033194739306964E-3</v>
      </c>
      <c r="F182">
        <f t="shared" si="5"/>
        <v>0.18080907937871871</v>
      </c>
    </row>
    <row r="183" spans="2:6" x14ac:dyDescent="0.2">
      <c r="B183">
        <v>176</v>
      </c>
      <c r="C183">
        <v>1.2469332209252817</v>
      </c>
      <c r="D183">
        <f t="shared" si="4"/>
        <v>5.3504247754299072E-4</v>
      </c>
      <c r="F183">
        <f t="shared" si="5"/>
        <v>9.4167476047566367E-2</v>
      </c>
    </row>
    <row r="184" spans="2:6" x14ac:dyDescent="0.2">
      <c r="B184">
        <v>177</v>
      </c>
      <c r="C184">
        <v>1.2473915862748053</v>
      </c>
      <c r="D184">
        <f t="shared" si="4"/>
        <v>7.6677128019397855E-5</v>
      </c>
      <c r="F184">
        <f t="shared" si="5"/>
        <v>1.357185165943342E-2</v>
      </c>
    </row>
    <row r="185" spans="2:6" x14ac:dyDescent="0.2">
      <c r="B185">
        <v>178</v>
      </c>
      <c r="C185">
        <v>1.2478108690734009</v>
      </c>
      <c r="D185">
        <f t="shared" si="4"/>
        <v>3.426056705762015E-4</v>
      </c>
      <c r="F185">
        <f t="shared" si="5"/>
        <v>6.0983809362563868E-2</v>
      </c>
    </row>
    <row r="186" spans="2:6" x14ac:dyDescent="0.2">
      <c r="B186">
        <v>179</v>
      </c>
      <c r="C186">
        <v>1.2481917607593305</v>
      </c>
      <c r="D186">
        <f t="shared" si="4"/>
        <v>7.2349735650578673E-4</v>
      </c>
      <c r="F186">
        <f t="shared" si="5"/>
        <v>0.12950602681453582</v>
      </c>
    </row>
    <row r="187" spans="2:6" x14ac:dyDescent="0.2">
      <c r="B187">
        <v>180</v>
      </c>
      <c r="C187">
        <v>1.2485349400956633</v>
      </c>
      <c r="D187">
        <f t="shared" si="4"/>
        <v>1.066676692838664E-3</v>
      </c>
      <c r="F187">
        <f t="shared" si="5"/>
        <v>0.19200180471095951</v>
      </c>
    </row>
    <row r="188" spans="2:6" x14ac:dyDescent="0.2">
      <c r="B188">
        <v>181</v>
      </c>
      <c r="C188">
        <v>1.2488410734149027</v>
      </c>
      <c r="D188">
        <f t="shared" si="4"/>
        <v>1.3728100120780073E-3</v>
      </c>
      <c r="F188">
        <f t="shared" si="5"/>
        <v>0.24847861218611933</v>
      </c>
    </row>
    <row r="189" spans="2:6" x14ac:dyDescent="0.2">
      <c r="B189">
        <v>182</v>
      </c>
      <c r="C189">
        <v>1.2491108148678269</v>
      </c>
      <c r="D189">
        <f t="shared" si="4"/>
        <v>1.642551465002251E-3</v>
      </c>
      <c r="F189">
        <f t="shared" si="5"/>
        <v>0.29894436663040969</v>
      </c>
    </row>
    <row r="190" spans="2:6" x14ac:dyDescent="0.2">
      <c r="B190">
        <v>183</v>
      </c>
      <c r="C190">
        <v>1.2493448066626849</v>
      </c>
      <c r="D190">
        <f t="shared" si="4"/>
        <v>1.8765432598601972E-3</v>
      </c>
      <c r="F190">
        <f t="shared" si="5"/>
        <v>0.34340741655441609</v>
      </c>
    </row>
    <row r="191" spans="2:6" x14ac:dyDescent="0.2">
      <c r="B191">
        <v>184</v>
      </c>
      <c r="C191">
        <v>1.2495436792997658</v>
      </c>
      <c r="D191">
        <f t="shared" si="4"/>
        <v>2.0754158969411574E-3</v>
      </c>
      <c r="F191">
        <f t="shared" si="5"/>
        <v>0.38187652503717295</v>
      </c>
    </row>
    <row r="192" spans="2:6" x14ac:dyDescent="0.2">
      <c r="B192">
        <v>185</v>
      </c>
      <c r="C192">
        <v>1.249708051793236</v>
      </c>
      <c r="D192">
        <f t="shared" si="4"/>
        <v>2.2397883904112792E-3</v>
      </c>
      <c r="F192">
        <f t="shared" si="5"/>
        <v>0.41436085222608665</v>
      </c>
    </row>
    <row r="193" spans="2:6" x14ac:dyDescent="0.2">
      <c r="B193">
        <v>186</v>
      </c>
      <c r="C193">
        <v>1.2498385319071981</v>
      </c>
      <c r="D193">
        <f t="shared" si="4"/>
        <v>2.3702685043733851E-3</v>
      </c>
      <c r="F193">
        <f t="shared" si="5"/>
        <v>0.44086994181344963</v>
      </c>
    </row>
    <row r="194" spans="2:6" x14ac:dyDescent="0.2">
      <c r="B194">
        <v>187</v>
      </c>
      <c r="C194">
        <v>1.2499357163673352</v>
      </c>
      <c r="D194">
        <f t="shared" si="4"/>
        <v>2.4674529645105636E-3</v>
      </c>
      <c r="F194">
        <f t="shared" si="5"/>
        <v>0.4614137043634754</v>
      </c>
    </row>
    <row r="195" spans="2:6" x14ac:dyDescent="0.2">
      <c r="B195">
        <v>188</v>
      </c>
      <c r="C195">
        <v>1.2500001910781564</v>
      </c>
      <c r="D195">
        <f t="shared" si="4"/>
        <v>2.5319276753317244E-3</v>
      </c>
      <c r="F195">
        <f t="shared" si="5"/>
        <v>0.47600240296236418</v>
      </c>
    </row>
    <row r="196" spans="2:6" x14ac:dyDescent="0.2">
      <c r="B196">
        <v>189</v>
      </c>
      <c r="C196">
        <v>1.2500325313523282</v>
      </c>
      <c r="D196">
        <f t="shared" si="4"/>
        <v>2.5642679495034848E-3</v>
      </c>
      <c r="F196">
        <f t="shared" si="5"/>
        <v>0.48464664245615863</v>
      </c>
    </row>
    <row r="197" spans="2:6" x14ac:dyDescent="0.2">
      <c r="B197">
        <v>190</v>
      </c>
      <c r="C197">
        <v>1.2500333020811669</v>
      </c>
      <c r="D197">
        <f t="shared" si="4"/>
        <v>2.5650386783422352E-3</v>
      </c>
      <c r="F197">
        <f t="shared" si="5"/>
        <v>0.48735734888502469</v>
      </c>
    </row>
    <row r="198" spans="2:6" x14ac:dyDescent="0.2">
      <c r="B198">
        <v>191</v>
      </c>
      <c r="C198">
        <v>1.2500030579815682</v>
      </c>
      <c r="D198">
        <f t="shared" si="4"/>
        <v>2.5347945787435044E-3</v>
      </c>
      <c r="F198">
        <f t="shared" si="5"/>
        <v>0.48414576454000935</v>
      </c>
    </row>
    <row r="199" spans="2:6" x14ac:dyDescent="0.2">
      <c r="B199">
        <v>192</v>
      </c>
      <c r="C199">
        <v>1.2499423437602402</v>
      </c>
      <c r="D199">
        <f t="shared" si="4"/>
        <v>2.4740803574154757E-3</v>
      </c>
      <c r="F199">
        <f t="shared" si="5"/>
        <v>0.47502342862377134</v>
      </c>
    </row>
    <row r="200" spans="2:6" x14ac:dyDescent="0.2">
      <c r="B200">
        <v>193</v>
      </c>
      <c r="C200">
        <v>1.2498516943318192</v>
      </c>
      <c r="D200">
        <f t="shared" si="4"/>
        <v>2.3834309289945121E-3</v>
      </c>
      <c r="F200">
        <f t="shared" si="5"/>
        <v>0.46000216929594084</v>
      </c>
    </row>
    <row r="201" spans="2:6" x14ac:dyDescent="0.2">
      <c r="B201">
        <v>194</v>
      </c>
      <c r="C201">
        <v>1.2497316349956524</v>
      </c>
      <c r="D201">
        <f t="shared" ref="D201:D264" si="6">ABS(C201-$E$8)</f>
        <v>2.2633715928277454E-3</v>
      </c>
      <c r="F201">
        <f t="shared" ref="F201:F264" si="7">D201*B201</f>
        <v>0.4390940890085826</v>
      </c>
    </row>
    <row r="202" spans="2:6" x14ac:dyDescent="0.2">
      <c r="B202">
        <v>195</v>
      </c>
      <c r="C202">
        <v>1.2495826816284292</v>
      </c>
      <c r="D202">
        <f t="shared" si="6"/>
        <v>2.1144182256045418E-3</v>
      </c>
      <c r="F202">
        <f t="shared" si="7"/>
        <v>0.41231155399288566</v>
      </c>
    </row>
    <row r="203" spans="2:6" x14ac:dyDescent="0.2">
      <c r="B203">
        <v>196</v>
      </c>
      <c r="C203">
        <v>1.2494053408769705</v>
      </c>
      <c r="D203">
        <f t="shared" si="6"/>
        <v>1.937077474145843E-3</v>
      </c>
      <c r="F203">
        <f t="shared" si="7"/>
        <v>0.37966718493258522</v>
      </c>
    </row>
    <row r="204" spans="2:6" x14ac:dyDescent="0.2">
      <c r="B204">
        <v>197</v>
      </c>
      <c r="C204">
        <v>1.2492001103223493</v>
      </c>
      <c r="D204">
        <f t="shared" si="6"/>
        <v>1.73184691952466E-3</v>
      </c>
      <c r="F204">
        <f t="shared" si="7"/>
        <v>0.34117384314635801</v>
      </c>
    </row>
    <row r="205" spans="2:6" x14ac:dyDescent="0.2">
      <c r="B205">
        <v>198</v>
      </c>
      <c r="C205">
        <v>1.248967478660729</v>
      </c>
      <c r="D205">
        <f t="shared" si="6"/>
        <v>1.4992152579043072E-3</v>
      </c>
      <c r="F205">
        <f t="shared" si="7"/>
        <v>0.29684462106505283</v>
      </c>
    </row>
    <row r="206" spans="2:6" x14ac:dyDescent="0.2">
      <c r="B206">
        <v>199</v>
      </c>
      <c r="C206">
        <v>1.248707925890943</v>
      </c>
      <c r="D206">
        <f t="shared" si="6"/>
        <v>1.2396624881183538E-3</v>
      </c>
      <c r="F206">
        <f t="shared" si="7"/>
        <v>0.2466928351355524</v>
      </c>
    </row>
    <row r="207" spans="2:6" x14ac:dyDescent="0.2">
      <c r="B207">
        <v>200</v>
      </c>
      <c r="C207">
        <v>1.2484219234588521</v>
      </c>
      <c r="D207">
        <f t="shared" si="6"/>
        <v>9.5366005602737225E-4</v>
      </c>
      <c r="F207">
        <f t="shared" si="7"/>
        <v>0.19073201120547445</v>
      </c>
    </row>
    <row r="208" spans="2:6" x14ac:dyDescent="0.2">
      <c r="B208">
        <f>B207+5</f>
        <v>205</v>
      </c>
      <c r="C208">
        <v>1.2466110899502649</v>
      </c>
      <c r="D208">
        <f t="shared" si="6"/>
        <v>8.571734525597563E-4</v>
      </c>
      <c r="F208">
        <f t="shared" si="7"/>
        <v>0.17572055777475004</v>
      </c>
    </row>
    <row r="209" spans="2:6" x14ac:dyDescent="0.2">
      <c r="B209">
        <f t="shared" ref="B209:B272" si="8">B208+5</f>
        <v>210</v>
      </c>
      <c r="C209">
        <v>1.2442051024344816</v>
      </c>
      <c r="D209">
        <f t="shared" si="6"/>
        <v>3.2631609683431151E-3</v>
      </c>
      <c r="F209">
        <f t="shared" si="7"/>
        <v>0.68526380335205417</v>
      </c>
    </row>
    <row r="210" spans="2:6" x14ac:dyDescent="0.2">
      <c r="B210">
        <f t="shared" si="8"/>
        <v>215</v>
      </c>
      <c r="C210">
        <v>1.2443465963457858</v>
      </c>
      <c r="D210">
        <f t="shared" si="6"/>
        <v>3.1216670570388683E-3</v>
      </c>
      <c r="F210">
        <f t="shared" si="7"/>
        <v>0.67115841726335668</v>
      </c>
    </row>
    <row r="211" spans="2:6" x14ac:dyDescent="0.2">
      <c r="B211">
        <f t="shared" si="8"/>
        <v>220</v>
      </c>
      <c r="C211">
        <v>1.2465440323280967</v>
      </c>
      <c r="D211">
        <f t="shared" si="6"/>
        <v>9.2423107472794364E-4</v>
      </c>
      <c r="F211">
        <f t="shared" si="7"/>
        <v>0.2033308364401476</v>
      </c>
    </row>
    <row r="212" spans="2:6" x14ac:dyDescent="0.2">
      <c r="B212">
        <f t="shared" si="8"/>
        <v>225</v>
      </c>
      <c r="C212">
        <v>1.2481066417433668</v>
      </c>
      <c r="D212">
        <f t="shared" si="6"/>
        <v>6.3837834054214504E-4</v>
      </c>
      <c r="F212">
        <f t="shared" si="7"/>
        <v>0.14363512662198263</v>
      </c>
    </row>
    <row r="213" spans="2:6" x14ac:dyDescent="0.2">
      <c r="B213">
        <f t="shared" si="8"/>
        <v>230</v>
      </c>
      <c r="C213">
        <v>1.2490781927894261</v>
      </c>
      <c r="D213">
        <f t="shared" si="6"/>
        <v>1.6099293866014275E-3</v>
      </c>
      <c r="F213">
        <f t="shared" si="7"/>
        <v>0.37028375891832832</v>
      </c>
    </row>
    <row r="214" spans="2:6" x14ac:dyDescent="0.2">
      <c r="B214">
        <f t="shared" si="8"/>
        <v>235</v>
      </c>
      <c r="C214">
        <v>1.2494993371826868</v>
      </c>
      <c r="D214">
        <f t="shared" si="6"/>
        <v>2.0310737798621137E-3</v>
      </c>
      <c r="F214">
        <f t="shared" si="7"/>
        <v>0.47730233826759672</v>
      </c>
    </row>
    <row r="215" spans="2:6" x14ac:dyDescent="0.2">
      <c r="B215">
        <f t="shared" si="8"/>
        <v>240</v>
      </c>
      <c r="C215">
        <v>1.2494078477601125</v>
      </c>
      <c r="D215">
        <f t="shared" si="6"/>
        <v>1.9395843572878047E-3</v>
      </c>
      <c r="F215">
        <f t="shared" si="7"/>
        <v>0.46550024574907312</v>
      </c>
    </row>
    <row r="216" spans="2:6" x14ac:dyDescent="0.2">
      <c r="B216">
        <f t="shared" si="8"/>
        <v>245</v>
      </c>
      <c r="C216">
        <v>1.2488388376693227</v>
      </c>
      <c r="D216">
        <f t="shared" si="6"/>
        <v>1.3705742664980036E-3</v>
      </c>
      <c r="F216">
        <f t="shared" si="7"/>
        <v>0.33579069529201089</v>
      </c>
    </row>
    <row r="217" spans="2:6" x14ac:dyDescent="0.2">
      <c r="B217">
        <f t="shared" si="8"/>
        <v>250</v>
      </c>
      <c r="C217">
        <v>1.247824962496801</v>
      </c>
      <c r="D217">
        <f t="shared" si="6"/>
        <v>3.5669909397628707E-4</v>
      </c>
      <c r="F217">
        <f t="shared" si="7"/>
        <v>8.9174773494071768E-2</v>
      </c>
    </row>
    <row r="218" spans="2:6" x14ac:dyDescent="0.2">
      <c r="B218">
        <f t="shared" si="8"/>
        <v>255</v>
      </c>
      <c r="C218">
        <v>1.2463966064118215</v>
      </c>
      <c r="D218">
        <f t="shared" si="6"/>
        <v>1.0716569910032003E-3</v>
      </c>
      <c r="F218">
        <f t="shared" si="7"/>
        <v>0.27327253270581608</v>
      </c>
    </row>
    <row r="219" spans="2:6" x14ac:dyDescent="0.2">
      <c r="B219">
        <f t="shared" si="8"/>
        <v>260</v>
      </c>
      <c r="C219">
        <v>1.2445820535741634</v>
      </c>
      <c r="D219">
        <f t="shared" si="6"/>
        <v>2.8862098286612792E-3</v>
      </c>
      <c r="F219">
        <f t="shared" si="7"/>
        <v>0.75041455545193259</v>
      </c>
    </row>
    <row r="220" spans="2:6" x14ac:dyDescent="0.2">
      <c r="B220">
        <f t="shared" si="8"/>
        <v>265</v>
      </c>
      <c r="C220">
        <v>1.2449614712156483</v>
      </c>
      <c r="D220">
        <f t="shared" si="6"/>
        <v>2.5067921871764209E-3</v>
      </c>
      <c r="F220">
        <f t="shared" si="7"/>
        <v>0.66429992960175155</v>
      </c>
    </row>
    <row r="221" spans="2:6" x14ac:dyDescent="0.2">
      <c r="B221">
        <f t="shared" si="8"/>
        <v>270</v>
      </c>
      <c r="C221">
        <v>1.2465881260342022</v>
      </c>
      <c r="D221">
        <f t="shared" si="6"/>
        <v>8.8013736862246894E-4</v>
      </c>
      <c r="F221">
        <f t="shared" si="7"/>
        <v>0.23763708952806661</v>
      </c>
    </row>
    <row r="222" spans="2:6" x14ac:dyDescent="0.2">
      <c r="B222">
        <f t="shared" si="8"/>
        <v>275</v>
      </c>
      <c r="C222">
        <v>1.2477963930885891</v>
      </c>
      <c r="D222">
        <f t="shared" si="6"/>
        <v>3.2812968576445556E-4</v>
      </c>
      <c r="F222">
        <f t="shared" si="7"/>
        <v>9.0235663585225279E-2</v>
      </c>
    </row>
    <row r="223" spans="2:6" x14ac:dyDescent="0.2">
      <c r="B223">
        <f t="shared" si="8"/>
        <v>280</v>
      </c>
      <c r="C223">
        <v>1.2486100337200163</v>
      </c>
      <c r="D223">
        <f t="shared" si="6"/>
        <v>1.1417703171916482E-3</v>
      </c>
      <c r="F223">
        <f t="shared" si="7"/>
        <v>0.3196956888136615</v>
      </c>
    </row>
    <row r="224" spans="2:6" x14ac:dyDescent="0.2">
      <c r="B224">
        <f t="shared" si="8"/>
        <v>285</v>
      </c>
      <c r="C224">
        <v>1.249051415070114</v>
      </c>
      <c r="D224">
        <f t="shared" si="6"/>
        <v>1.5831516672892842E-3</v>
      </c>
      <c r="F224">
        <f t="shared" si="7"/>
        <v>0.45119822517744601</v>
      </c>
    </row>
    <row r="225" spans="2:6" x14ac:dyDescent="0.2">
      <c r="B225">
        <f t="shared" si="8"/>
        <v>290</v>
      </c>
      <c r="C225">
        <v>1.2491415977180904</v>
      </c>
      <c r="D225">
        <f t="shared" si="6"/>
        <v>1.6733343152657287E-3</v>
      </c>
      <c r="F225">
        <f t="shared" si="7"/>
        <v>0.48526695142706133</v>
      </c>
    </row>
    <row r="226" spans="2:6" x14ac:dyDescent="0.2">
      <c r="B226">
        <f t="shared" si="8"/>
        <v>295</v>
      </c>
      <c r="C226">
        <v>1.2489004177701775</v>
      </c>
      <c r="D226">
        <f t="shared" si="6"/>
        <v>1.4321543673527781E-3</v>
      </c>
      <c r="F226">
        <f t="shared" si="7"/>
        <v>0.42248553836906955</v>
      </c>
    </row>
    <row r="227" spans="2:6" x14ac:dyDescent="0.2">
      <c r="B227">
        <f t="shared" si="8"/>
        <v>300</v>
      </c>
      <c r="C227">
        <v>1.2483465637137341</v>
      </c>
      <c r="D227">
        <f t="shared" si="6"/>
        <v>8.7830031090940786E-4</v>
      </c>
      <c r="F227">
        <f t="shared" si="7"/>
        <v>0.26349009327282236</v>
      </c>
    </row>
    <row r="228" spans="2:6" x14ac:dyDescent="0.2">
      <c r="B228">
        <f t="shared" si="8"/>
        <v>305</v>
      </c>
      <c r="C228">
        <v>1.2474976481925384</v>
      </c>
      <c r="D228">
        <f t="shared" si="6"/>
        <v>2.9384789713704507E-5</v>
      </c>
      <c r="F228">
        <f t="shared" si="7"/>
        <v>8.9623608626798745E-3</v>
      </c>
    </row>
    <row r="229" spans="2:6" x14ac:dyDescent="0.2">
      <c r="B229">
        <f t="shared" si="8"/>
        <v>310</v>
      </c>
      <c r="C229">
        <v>1.2463702752098393</v>
      </c>
      <c r="D229">
        <f t="shared" si="6"/>
        <v>1.0979881929853441E-3</v>
      </c>
      <c r="F229">
        <f t="shared" si="7"/>
        <v>0.34037633982545668</v>
      </c>
    </row>
    <row r="230" spans="2:6" x14ac:dyDescent="0.2">
      <c r="B230">
        <f t="shared" si="8"/>
        <v>315</v>
      </c>
      <c r="C230">
        <v>1.2449801028485867</v>
      </c>
      <c r="D230">
        <f t="shared" si="6"/>
        <v>2.4881605542379504E-3</v>
      </c>
      <c r="F230">
        <f t="shared" si="7"/>
        <v>0.78377057458495436</v>
      </c>
    </row>
    <row r="231" spans="2:6" x14ac:dyDescent="0.2">
      <c r="B231">
        <f t="shared" si="8"/>
        <v>320</v>
      </c>
      <c r="C231">
        <v>1.2453525281131375</v>
      </c>
      <c r="D231">
        <f t="shared" si="6"/>
        <v>2.1157352896872261E-3</v>
      </c>
      <c r="F231">
        <f t="shared" si="7"/>
        <v>0.67703529269991236</v>
      </c>
    </row>
    <row r="232" spans="2:6" x14ac:dyDescent="0.2">
      <c r="B232">
        <f t="shared" si="8"/>
        <v>325</v>
      </c>
      <c r="C232">
        <v>1.2466022720913834</v>
      </c>
      <c r="D232">
        <f t="shared" si="6"/>
        <v>8.6599131144127206E-4</v>
      </c>
      <c r="F232">
        <f t="shared" si="7"/>
        <v>0.28144717621841342</v>
      </c>
    </row>
    <row r="233" spans="2:6" x14ac:dyDescent="0.2">
      <c r="B233">
        <f t="shared" si="8"/>
        <v>330</v>
      </c>
      <c r="C233">
        <v>1.2475648722719412</v>
      </c>
      <c r="D233">
        <f t="shared" si="6"/>
        <v>9.660886911655453E-5</v>
      </c>
      <c r="F233">
        <f t="shared" si="7"/>
        <v>3.1880926808462995E-2</v>
      </c>
    </row>
    <row r="234" spans="2:6" x14ac:dyDescent="0.2">
      <c r="B234">
        <f t="shared" si="8"/>
        <v>335</v>
      </c>
      <c r="C234">
        <v>1.2482539880746581</v>
      </c>
      <c r="D234">
        <f t="shared" si="6"/>
        <v>7.8572467183346539E-4</v>
      </c>
      <c r="F234">
        <f t="shared" si="7"/>
        <v>0.26321776506421091</v>
      </c>
    </row>
    <row r="235" spans="2:6" x14ac:dyDescent="0.2">
      <c r="B235">
        <f t="shared" si="8"/>
        <v>340</v>
      </c>
      <c r="C235">
        <v>1.2486826073895738</v>
      </c>
      <c r="D235">
        <f t="shared" si="6"/>
        <v>1.2143439867491335E-3</v>
      </c>
      <c r="F235">
        <f t="shared" si="7"/>
        <v>0.41287695549470538</v>
      </c>
    </row>
    <row r="236" spans="2:6" x14ac:dyDescent="0.2">
      <c r="B236">
        <f t="shared" si="8"/>
        <v>345</v>
      </c>
      <c r="C236">
        <v>1.24886308199851</v>
      </c>
      <c r="D236">
        <f t="shared" si="6"/>
        <v>1.3948185956853543E-3</v>
      </c>
      <c r="F236">
        <f t="shared" si="7"/>
        <v>0.48121241551144722</v>
      </c>
    </row>
    <row r="237" spans="2:6" x14ac:dyDescent="0.2">
      <c r="B237">
        <f t="shared" si="8"/>
        <v>350</v>
      </c>
      <c r="C237">
        <v>1.2488071610901941</v>
      </c>
      <c r="D237">
        <f t="shared" si="6"/>
        <v>1.3388976873693892E-3</v>
      </c>
      <c r="F237">
        <f t="shared" si="7"/>
        <v>0.46861419057928622</v>
      </c>
    </row>
    <row r="238" spans="2:6" x14ac:dyDescent="0.2">
      <c r="B238">
        <f t="shared" si="8"/>
        <v>355</v>
      </c>
      <c r="C238">
        <v>1.2485260229827861</v>
      </c>
      <c r="D238">
        <f t="shared" si="6"/>
        <v>1.0577595799614592E-3</v>
      </c>
      <c r="F238">
        <f t="shared" si="7"/>
        <v>0.37550465088631801</v>
      </c>
    </row>
    <row r="239" spans="2:6" x14ac:dyDescent="0.2">
      <c r="B239">
        <f t="shared" si="8"/>
        <v>360</v>
      </c>
      <c r="C239">
        <v>1.248030305081899</v>
      </c>
      <c r="D239">
        <f t="shared" si="6"/>
        <v>5.6204167907436542E-4</v>
      </c>
      <c r="F239">
        <f t="shared" si="7"/>
        <v>0.20233500446677155</v>
      </c>
    </row>
    <row r="240" spans="2:6" x14ac:dyDescent="0.2">
      <c r="B240">
        <f t="shared" si="8"/>
        <v>365</v>
      </c>
      <c r="C240">
        <v>1.2473301322993529</v>
      </c>
      <c r="D240">
        <f t="shared" si="6"/>
        <v>1.38131103471828E-4</v>
      </c>
      <c r="F240">
        <f t="shared" si="7"/>
        <v>5.0417852767217219E-2</v>
      </c>
    </row>
    <row r="241" spans="2:6" x14ac:dyDescent="0.2">
      <c r="B241">
        <f t="shared" si="8"/>
        <v>370</v>
      </c>
      <c r="C241">
        <v>1.2464351438119203</v>
      </c>
      <c r="D241">
        <f t="shared" si="6"/>
        <v>1.0331195909043522E-3</v>
      </c>
      <c r="F241">
        <f t="shared" si="7"/>
        <v>0.38225424863461033</v>
      </c>
    </row>
    <row r="242" spans="2:6" x14ac:dyDescent="0.2">
      <c r="B242">
        <f t="shared" si="8"/>
        <v>375</v>
      </c>
      <c r="C242">
        <v>1.2453545184321109</v>
      </c>
      <c r="D242">
        <f t="shared" si="6"/>
        <v>2.1137449707138156E-3</v>
      </c>
      <c r="F242">
        <f t="shared" si="7"/>
        <v>0.79265436401768086</v>
      </c>
    </row>
    <row r="243" spans="2:6" x14ac:dyDescent="0.2">
      <c r="B243">
        <f t="shared" si="8"/>
        <v>380</v>
      </c>
      <c r="C243">
        <v>1.245613338819239</v>
      </c>
      <c r="D243">
        <f t="shared" si="6"/>
        <v>1.8549245835857153E-3</v>
      </c>
      <c r="F243">
        <f t="shared" si="7"/>
        <v>0.70487134176257182</v>
      </c>
    </row>
    <row r="244" spans="2:6" x14ac:dyDescent="0.2">
      <c r="B244">
        <f t="shared" si="8"/>
        <v>385</v>
      </c>
      <c r="C244">
        <v>1.2466024306695753</v>
      </c>
      <c r="D244">
        <f t="shared" si="6"/>
        <v>8.6583273324936094E-4</v>
      </c>
      <c r="F244">
        <f t="shared" si="7"/>
        <v>0.33334560230100396</v>
      </c>
    </row>
    <row r="245" spans="2:6" x14ac:dyDescent="0.2">
      <c r="B245">
        <f t="shared" si="8"/>
        <v>390</v>
      </c>
      <c r="C245">
        <v>1.2473878025226182</v>
      </c>
      <c r="D245">
        <f t="shared" si="6"/>
        <v>8.04608802065232E-5</v>
      </c>
      <c r="F245">
        <f t="shared" si="7"/>
        <v>3.1379743280544048E-2</v>
      </c>
    </row>
    <row r="246" spans="2:6" x14ac:dyDescent="0.2">
      <c r="B246">
        <f t="shared" si="8"/>
        <v>395</v>
      </c>
      <c r="C246">
        <v>1.2479776869737702</v>
      </c>
      <c r="D246">
        <f t="shared" si="6"/>
        <v>5.0942357094552193E-4</v>
      </c>
      <c r="F246">
        <f t="shared" si="7"/>
        <v>0.20122231052348116</v>
      </c>
    </row>
    <row r="247" spans="2:6" x14ac:dyDescent="0.2">
      <c r="B247">
        <f t="shared" si="8"/>
        <v>400</v>
      </c>
      <c r="C247">
        <v>1.2483799727257743</v>
      </c>
      <c r="D247">
        <f t="shared" si="6"/>
        <v>9.1170932294959428E-4</v>
      </c>
      <c r="F247">
        <f t="shared" si="7"/>
        <v>0.36468372917983771</v>
      </c>
    </row>
    <row r="248" spans="2:6" x14ac:dyDescent="0.2">
      <c r="B248">
        <f t="shared" si="8"/>
        <v>405</v>
      </c>
      <c r="C248">
        <v>1.2486022200056524</v>
      </c>
      <c r="D248">
        <f t="shared" si="6"/>
        <v>1.1339566028276682E-3</v>
      </c>
      <c r="F248">
        <f t="shared" si="7"/>
        <v>0.45925242414520562</v>
      </c>
    </row>
    <row r="249" spans="2:6" x14ac:dyDescent="0.2">
      <c r="B249">
        <f t="shared" si="8"/>
        <v>410</v>
      </c>
      <c r="C249">
        <v>1.2486516752779933</v>
      </c>
      <c r="D249">
        <f t="shared" si="6"/>
        <v>1.1834118751685718E-3</v>
      </c>
      <c r="F249">
        <f t="shared" si="7"/>
        <v>0.48519886881911445</v>
      </c>
    </row>
    <row r="250" spans="2:6" x14ac:dyDescent="0.2">
      <c r="B250">
        <f t="shared" si="8"/>
        <v>415</v>
      </c>
      <c r="C250">
        <v>1.24853528526831</v>
      </c>
      <c r="D250">
        <f t="shared" si="6"/>
        <v>1.0670218654853514E-3</v>
      </c>
      <c r="F250">
        <f t="shared" si="7"/>
        <v>0.44281407417642082</v>
      </c>
    </row>
    <row r="251" spans="2:6" x14ac:dyDescent="0.2">
      <c r="B251">
        <f t="shared" si="8"/>
        <v>420</v>
      </c>
      <c r="C251">
        <v>1.2482597104058397</v>
      </c>
      <c r="D251">
        <f t="shared" si="6"/>
        <v>7.9144700301503335E-4</v>
      </c>
      <c r="F251">
        <f t="shared" si="7"/>
        <v>0.33240774126631401</v>
      </c>
    </row>
    <row r="252" spans="2:6" x14ac:dyDescent="0.2">
      <c r="B252">
        <f t="shared" si="8"/>
        <v>425</v>
      </c>
      <c r="C252">
        <v>1.2478313375690071</v>
      </c>
      <c r="D252">
        <f t="shared" si="6"/>
        <v>3.6307416618241994E-4</v>
      </c>
      <c r="F252">
        <f t="shared" si="7"/>
        <v>0.15430652062752848</v>
      </c>
    </row>
    <row r="253" spans="2:6" x14ac:dyDescent="0.2">
      <c r="B253">
        <f t="shared" si="8"/>
        <v>430</v>
      </c>
      <c r="C253">
        <v>1.2472562922924142</v>
      </c>
      <c r="D253">
        <f t="shared" si="6"/>
        <v>2.1197111041049155E-4</v>
      </c>
      <c r="F253">
        <f t="shared" si="7"/>
        <v>9.1147577476511366E-2</v>
      </c>
    </row>
    <row r="254" spans="2:6" x14ac:dyDescent="0.2">
      <c r="B254">
        <f t="shared" si="8"/>
        <v>435</v>
      </c>
      <c r="C254">
        <v>1.2465404503783177</v>
      </c>
      <c r="D254">
        <f t="shared" si="6"/>
        <v>9.2781302450695158E-4</v>
      </c>
      <c r="F254">
        <f t="shared" si="7"/>
        <v>0.40359866566052394</v>
      </c>
    </row>
    <row r="255" spans="2:6" x14ac:dyDescent="0.2">
      <c r="B255">
        <f t="shared" si="8"/>
        <v>440</v>
      </c>
      <c r="C255">
        <v>1.2456894489622563</v>
      </c>
      <c r="D255">
        <f t="shared" si="6"/>
        <v>1.778814440568377E-3</v>
      </c>
      <c r="F255">
        <f t="shared" si="7"/>
        <v>0.78267835385008588</v>
      </c>
    </row>
    <row r="256" spans="2:6" x14ac:dyDescent="0.2">
      <c r="B256">
        <f t="shared" si="8"/>
        <v>445</v>
      </c>
      <c r="C256">
        <v>1.2457943156976248</v>
      </c>
      <c r="D256">
        <f t="shared" si="6"/>
        <v>1.6739477051999074E-3</v>
      </c>
      <c r="F256">
        <f t="shared" si="7"/>
        <v>0.74490672881395881</v>
      </c>
    </row>
    <row r="257" spans="2:6" x14ac:dyDescent="0.2">
      <c r="B257">
        <f t="shared" si="8"/>
        <v>450</v>
      </c>
      <c r="C257">
        <v>1.246596231146305</v>
      </c>
      <c r="D257">
        <f t="shared" si="6"/>
        <v>8.7203225651966143E-4</v>
      </c>
      <c r="F257">
        <f t="shared" si="7"/>
        <v>0.39241451543384764</v>
      </c>
    </row>
    <row r="258" spans="2:6" x14ac:dyDescent="0.2">
      <c r="B258">
        <f t="shared" si="8"/>
        <v>455</v>
      </c>
      <c r="C258">
        <v>1.247249552217089</v>
      </c>
      <c r="D258">
        <f t="shared" si="6"/>
        <v>2.1871118573568715E-4</v>
      </c>
      <c r="F258">
        <f t="shared" si="7"/>
        <v>9.9513589509737654E-2</v>
      </c>
    </row>
    <row r="259" spans="2:6" x14ac:dyDescent="0.2">
      <c r="B259">
        <f t="shared" si="8"/>
        <v>460</v>
      </c>
      <c r="C259">
        <v>1.2477594421324907</v>
      </c>
      <c r="D259">
        <f t="shared" si="6"/>
        <v>2.9117872966599734E-4</v>
      </c>
      <c r="F259">
        <f t="shared" si="7"/>
        <v>0.13394221564635878</v>
      </c>
    </row>
    <row r="260" spans="2:6" x14ac:dyDescent="0.2">
      <c r="B260">
        <f t="shared" si="8"/>
        <v>465</v>
      </c>
      <c r="C260">
        <v>1.2481308786276626</v>
      </c>
      <c r="D260">
        <f t="shared" si="6"/>
        <v>6.6261522483790358E-4</v>
      </c>
      <c r="F260">
        <f t="shared" si="7"/>
        <v>0.30811607954962517</v>
      </c>
    </row>
    <row r="261" spans="2:6" x14ac:dyDescent="0.2">
      <c r="B261">
        <f t="shared" si="8"/>
        <v>470</v>
      </c>
      <c r="C261">
        <v>1.2483686611227141</v>
      </c>
      <c r="D261">
        <f t="shared" si="6"/>
        <v>9.0039771988936756E-4</v>
      </c>
      <c r="F261">
        <f t="shared" si="7"/>
        <v>0.42318692834800276</v>
      </c>
    </row>
    <row r="262" spans="2:6" x14ac:dyDescent="0.2">
      <c r="B262">
        <f t="shared" si="8"/>
        <v>475</v>
      </c>
      <c r="C262">
        <v>1.2484774175633695</v>
      </c>
      <c r="D262">
        <f t="shared" si="6"/>
        <v>1.0091541605448118E-3</v>
      </c>
      <c r="F262">
        <f t="shared" si="7"/>
        <v>0.47934822625878559</v>
      </c>
    </row>
    <row r="263" spans="2:6" x14ac:dyDescent="0.2">
      <c r="B263">
        <f t="shared" si="8"/>
        <v>480</v>
      </c>
      <c r="C263">
        <v>1.2484616110631175</v>
      </c>
      <c r="D263">
        <f t="shared" si="6"/>
        <v>9.933476602927982E-4</v>
      </c>
      <c r="F263">
        <f t="shared" si="7"/>
        <v>0.47680687694054313</v>
      </c>
    </row>
    <row r="264" spans="2:6" x14ac:dyDescent="0.2">
      <c r="B264">
        <f t="shared" si="8"/>
        <v>485</v>
      </c>
      <c r="C264">
        <v>1.2483255462430818</v>
      </c>
      <c r="D264">
        <f t="shared" si="6"/>
        <v>8.5728284025710089E-4</v>
      </c>
      <c r="F264">
        <f t="shared" si="7"/>
        <v>0.41578217752469393</v>
      </c>
    </row>
    <row r="265" spans="2:6" x14ac:dyDescent="0.2">
      <c r="B265">
        <f t="shared" si="8"/>
        <v>490</v>
      </c>
      <c r="C265">
        <v>1.2480733752886006</v>
      </c>
      <c r="D265">
        <f t="shared" ref="D265:D328" si="9">ABS(C265-$E$8)</f>
        <v>6.051118857759441E-4</v>
      </c>
      <c r="F265">
        <f t="shared" ref="F265:F328" si="10">D265*B265</f>
        <v>0.29650482403021261</v>
      </c>
    </row>
    <row r="266" spans="2:6" x14ac:dyDescent="0.2">
      <c r="B266">
        <f t="shared" si="8"/>
        <v>495</v>
      </c>
      <c r="C266">
        <v>1.2477091038379078</v>
      </c>
      <c r="D266">
        <f t="shared" si="9"/>
        <v>2.408404350831006E-4</v>
      </c>
      <c r="F266">
        <f t="shared" si="10"/>
        <v>0.1192160153661348</v>
      </c>
    </row>
    <row r="267" spans="2:6" x14ac:dyDescent="0.2">
      <c r="B267">
        <f t="shared" si="8"/>
        <v>500</v>
      </c>
      <c r="C267">
        <v>1.2472365965876744</v>
      </c>
      <c r="D267">
        <f t="shared" si="9"/>
        <v>2.3166681515029985E-4</v>
      </c>
      <c r="F267">
        <f t="shared" si="10"/>
        <v>0.11583340757514993</v>
      </c>
    </row>
    <row r="268" spans="2:6" x14ac:dyDescent="0.2">
      <c r="B268">
        <f t="shared" si="8"/>
        <v>505</v>
      </c>
      <c r="C268">
        <v>1.2466595826695379</v>
      </c>
      <c r="D268">
        <f t="shared" si="9"/>
        <v>8.086807332867707E-4</v>
      </c>
      <c r="F268">
        <f t="shared" si="10"/>
        <v>0.40838377030981921</v>
      </c>
    </row>
    <row r="269" spans="2:6" x14ac:dyDescent="0.2">
      <c r="B269">
        <f t="shared" si="8"/>
        <v>510</v>
      </c>
      <c r="C269">
        <v>1.245981660862516</v>
      </c>
      <c r="D269">
        <f t="shared" si="9"/>
        <v>1.4866025403086347E-3</v>
      </c>
      <c r="F269">
        <f t="shared" si="10"/>
        <v>0.7581672955574037</v>
      </c>
    </row>
    <row r="270" spans="2:6" x14ac:dyDescent="0.2">
      <c r="B270">
        <f t="shared" si="8"/>
        <v>515</v>
      </c>
      <c r="C270">
        <v>1.245924188777974</v>
      </c>
      <c r="D270">
        <f t="shared" si="9"/>
        <v>1.5440746248507331E-3</v>
      </c>
      <c r="F270">
        <f t="shared" si="10"/>
        <v>0.79519843179812755</v>
      </c>
    </row>
    <row r="271" spans="2:6" x14ac:dyDescent="0.2">
      <c r="B271">
        <f t="shared" si="8"/>
        <v>520</v>
      </c>
      <c r="C271">
        <v>1.2465874236644743</v>
      </c>
      <c r="D271">
        <f t="shared" si="9"/>
        <v>8.8083973835040297E-4</v>
      </c>
      <c r="F271">
        <f t="shared" si="10"/>
        <v>0.45803666394220954</v>
      </c>
    </row>
    <row r="272" spans="2:6" x14ac:dyDescent="0.2">
      <c r="B272">
        <f t="shared" si="8"/>
        <v>525</v>
      </c>
      <c r="C272">
        <v>1.2471396956531882</v>
      </c>
      <c r="D272">
        <f t="shared" si="9"/>
        <v>3.2856774963652136E-4</v>
      </c>
      <c r="F272">
        <f t="shared" si="10"/>
        <v>0.17249806855917371</v>
      </c>
    </row>
    <row r="273" spans="2:6" x14ac:dyDescent="0.2">
      <c r="B273">
        <f t="shared" ref="B273:B336" si="11">B272+5</f>
        <v>530</v>
      </c>
      <c r="C273">
        <v>1.2475843547281911</v>
      </c>
      <c r="D273">
        <f t="shared" si="9"/>
        <v>1.1609132536638533E-4</v>
      </c>
      <c r="F273">
        <f t="shared" si="10"/>
        <v>6.1528402444184227E-2</v>
      </c>
    </row>
    <row r="274" spans="2:6" x14ac:dyDescent="0.2">
      <c r="B274">
        <f t="shared" si="11"/>
        <v>535</v>
      </c>
      <c r="C274">
        <v>1.2479246463280305</v>
      </c>
      <c r="D274">
        <f t="shared" si="9"/>
        <v>4.5638292520577828E-4</v>
      </c>
      <c r="F274">
        <f t="shared" si="10"/>
        <v>0.24416486498509138</v>
      </c>
    </row>
    <row r="275" spans="2:6" x14ac:dyDescent="0.2">
      <c r="B275">
        <f t="shared" si="11"/>
        <v>540</v>
      </c>
      <c r="C275">
        <v>1.2481637147892426</v>
      </c>
      <c r="D275">
        <f t="shared" si="9"/>
        <v>6.9545138641791127E-4</v>
      </c>
      <c r="F275">
        <f t="shared" si="10"/>
        <v>0.37554374866567208</v>
      </c>
    </row>
    <row r="276" spans="2:6" x14ac:dyDescent="0.2">
      <c r="B276">
        <f t="shared" si="11"/>
        <v>545</v>
      </c>
      <c r="C276">
        <v>1.2483046067958914</v>
      </c>
      <c r="D276">
        <f t="shared" si="9"/>
        <v>8.3634339306670746E-4</v>
      </c>
      <c r="F276">
        <f t="shared" si="10"/>
        <v>0.45580714922135557</v>
      </c>
    </row>
    <row r="277" spans="2:6" x14ac:dyDescent="0.2">
      <c r="B277">
        <f t="shared" si="11"/>
        <v>550</v>
      </c>
      <c r="C277">
        <v>1.2483502746022146</v>
      </c>
      <c r="D277">
        <f t="shared" si="9"/>
        <v>8.8201119938990935E-4</v>
      </c>
      <c r="F277">
        <f t="shared" si="10"/>
        <v>0.48510615966445014</v>
      </c>
    </row>
    <row r="278" spans="2:6" x14ac:dyDescent="0.2">
      <c r="B278">
        <f t="shared" si="11"/>
        <v>555</v>
      </c>
      <c r="C278">
        <v>1.2483035792162291</v>
      </c>
      <c r="D278">
        <f t="shared" si="9"/>
        <v>8.3531581340445804E-4</v>
      </c>
      <c r="F278">
        <f t="shared" si="10"/>
        <v>0.46360027643947421</v>
      </c>
    </row>
    <row r="279" spans="2:6" x14ac:dyDescent="0.2">
      <c r="B279">
        <f t="shared" si="11"/>
        <v>560</v>
      </c>
      <c r="C279">
        <v>1.2481672934620425</v>
      </c>
      <c r="D279">
        <f t="shared" si="9"/>
        <v>6.9903005921778671E-4</v>
      </c>
      <c r="F279">
        <f t="shared" si="10"/>
        <v>0.39145683316196056</v>
      </c>
    </row>
    <row r="280" spans="2:6" x14ac:dyDescent="0.2">
      <c r="B280">
        <f t="shared" si="11"/>
        <v>565</v>
      </c>
      <c r="C280">
        <v>1.2479441048779534</v>
      </c>
      <c r="D280">
        <f t="shared" si="9"/>
        <v>4.7584147512869102E-4</v>
      </c>
      <c r="F280">
        <f t="shared" si="10"/>
        <v>0.26885043344771042</v>
      </c>
    </row>
    <row r="281" spans="2:6" x14ac:dyDescent="0.2">
      <c r="B281">
        <f t="shared" si="11"/>
        <v>570</v>
      </c>
      <c r="C281">
        <v>1.2476366186261634</v>
      </c>
      <c r="D281">
        <f t="shared" si="9"/>
        <v>1.683552233386898E-4</v>
      </c>
      <c r="F281">
        <f t="shared" si="10"/>
        <v>9.5962477303053184E-2</v>
      </c>
    </row>
    <row r="282" spans="2:6" x14ac:dyDescent="0.2">
      <c r="B282">
        <f t="shared" si="11"/>
        <v>575</v>
      </c>
      <c r="C282">
        <v>1.2472473601831209</v>
      </c>
      <c r="D282">
        <f t="shared" si="9"/>
        <v>2.2090321970380522E-4</v>
      </c>
      <c r="F282">
        <f t="shared" si="10"/>
        <v>0.127019351329688</v>
      </c>
    </row>
    <row r="283" spans="2:6" x14ac:dyDescent="0.2">
      <c r="B283">
        <f t="shared" si="11"/>
        <v>580</v>
      </c>
      <c r="C283">
        <v>1.2467787780163222</v>
      </c>
      <c r="D283">
        <f t="shared" si="9"/>
        <v>6.8948538650248636E-4</v>
      </c>
      <c r="F283">
        <f t="shared" si="10"/>
        <v>0.39990152417144209</v>
      </c>
    </row>
    <row r="284" spans="2:6" x14ac:dyDescent="0.2">
      <c r="B284">
        <f t="shared" si="11"/>
        <v>585</v>
      </c>
      <c r="C284">
        <v>1.2462332461495482</v>
      </c>
      <c r="D284">
        <f t="shared" si="9"/>
        <v>1.2350172532764603E-3</v>
      </c>
      <c r="F284">
        <f t="shared" si="10"/>
        <v>0.72248509316672926</v>
      </c>
    </row>
    <row r="285" spans="2:6" x14ac:dyDescent="0.2">
      <c r="B285">
        <f t="shared" si="11"/>
        <v>590</v>
      </c>
      <c r="C285">
        <v>1.2460201203345107</v>
      </c>
      <c r="D285">
        <f t="shared" si="9"/>
        <v>1.4481430683139784E-3</v>
      </c>
      <c r="F285">
        <f t="shared" si="10"/>
        <v>0.85440441030524727</v>
      </c>
    </row>
    <row r="286" spans="2:6" x14ac:dyDescent="0.2">
      <c r="B286">
        <f t="shared" si="11"/>
        <v>595</v>
      </c>
      <c r="C286">
        <v>1.2465778701967354</v>
      </c>
      <c r="D286">
        <f t="shared" si="9"/>
        <v>8.9039320608930161E-4</v>
      </c>
      <c r="F286">
        <f t="shared" si="10"/>
        <v>0.52978395762313446</v>
      </c>
    </row>
    <row r="287" spans="2:6" x14ac:dyDescent="0.2">
      <c r="B287">
        <f t="shared" si="11"/>
        <v>600</v>
      </c>
      <c r="C287">
        <v>1.2470510680481035</v>
      </c>
      <c r="D287">
        <f t="shared" si="9"/>
        <v>4.1719535472117819E-4</v>
      </c>
      <c r="F287">
        <f t="shared" si="10"/>
        <v>0.25031721283270691</v>
      </c>
    </row>
    <row r="288" spans="2:6" x14ac:dyDescent="0.2">
      <c r="B288">
        <f t="shared" si="11"/>
        <v>605</v>
      </c>
      <c r="C288">
        <v>1.2474419520443809</v>
      </c>
      <c r="D288">
        <f t="shared" si="9"/>
        <v>2.6311358443775745E-5</v>
      </c>
      <c r="F288">
        <f t="shared" si="10"/>
        <v>1.5918371858484326E-2</v>
      </c>
    </row>
    <row r="289" spans="2:6" x14ac:dyDescent="0.2">
      <c r="B289">
        <f t="shared" si="11"/>
        <v>610</v>
      </c>
      <c r="C289">
        <v>1.2477526991124415</v>
      </c>
      <c r="D289">
        <f t="shared" si="9"/>
        <v>2.8443570961678155E-4</v>
      </c>
      <c r="F289">
        <f t="shared" si="10"/>
        <v>0.17350578286623675</v>
      </c>
    </row>
    <row r="290" spans="2:6" x14ac:dyDescent="0.2">
      <c r="B290">
        <f t="shared" si="11"/>
        <v>615</v>
      </c>
      <c r="C290">
        <v>1.2479854266944617</v>
      </c>
      <c r="D290">
        <f t="shared" si="9"/>
        <v>5.1716329163697949E-4</v>
      </c>
      <c r="F290">
        <f t="shared" si="10"/>
        <v>0.31805542435674239</v>
      </c>
    </row>
    <row r="291" spans="2:6" x14ac:dyDescent="0.2">
      <c r="B291">
        <f t="shared" si="11"/>
        <v>620</v>
      </c>
      <c r="C291">
        <v>1.2481421945222544</v>
      </c>
      <c r="D291">
        <f t="shared" si="9"/>
        <v>6.7393111942970485E-4</v>
      </c>
      <c r="F291">
        <f t="shared" si="10"/>
        <v>0.41783729404641701</v>
      </c>
    </row>
    <row r="292" spans="2:6" x14ac:dyDescent="0.2">
      <c r="B292">
        <f t="shared" si="11"/>
        <v>625</v>
      </c>
      <c r="C292">
        <v>1.2482250062986748</v>
      </c>
      <c r="D292">
        <f t="shared" si="9"/>
        <v>7.5674289585014876E-4</v>
      </c>
      <c r="F292">
        <f t="shared" si="10"/>
        <v>0.47296430990634297</v>
      </c>
    </row>
    <row r="293" spans="2:6" x14ac:dyDescent="0.2">
      <c r="B293">
        <f t="shared" si="11"/>
        <v>630</v>
      </c>
      <c r="C293">
        <v>1.2482358113550176</v>
      </c>
      <c r="D293">
        <f t="shared" si="9"/>
        <v>7.6754795219291516E-4</v>
      </c>
      <c r="F293">
        <f t="shared" si="10"/>
        <v>0.48355520988153655</v>
      </c>
    </row>
    <row r="294" spans="2:6" x14ac:dyDescent="0.2">
      <c r="B294">
        <f t="shared" si="11"/>
        <v>635</v>
      </c>
      <c r="C294">
        <v>1.248176506242286</v>
      </c>
      <c r="D294">
        <f t="shared" si="9"/>
        <v>7.0824283946135935E-4</v>
      </c>
      <c r="F294">
        <f t="shared" si="10"/>
        <v>0.44973420305796319</v>
      </c>
    </row>
    <row r="295" spans="2:6" x14ac:dyDescent="0.2">
      <c r="B295">
        <f t="shared" si="11"/>
        <v>640</v>
      </c>
      <c r="C295">
        <v>1.248048936279476</v>
      </c>
      <c r="D295">
        <f t="shared" si="9"/>
        <v>5.806728766513114E-4</v>
      </c>
      <c r="F295">
        <f t="shared" si="10"/>
        <v>0.37163064105683929</v>
      </c>
    </row>
    <row r="296" spans="2:6" x14ac:dyDescent="0.2">
      <c r="B296">
        <f t="shared" si="11"/>
        <v>645</v>
      </c>
      <c r="C296">
        <v>1.2478548970380168</v>
      </c>
      <c r="D296">
        <f t="shared" si="9"/>
        <v>3.8663363519209071E-4</v>
      </c>
      <c r="F296">
        <f t="shared" si="10"/>
        <v>0.24937869469889851</v>
      </c>
    </row>
    <row r="297" spans="2:6" x14ac:dyDescent="0.2">
      <c r="B297">
        <f t="shared" si="11"/>
        <v>650</v>
      </c>
      <c r="C297">
        <v>1.2475961358497138</v>
      </c>
      <c r="D297">
        <f t="shared" si="9"/>
        <v>1.2787244688916566E-4</v>
      </c>
      <c r="F297">
        <f t="shared" si="10"/>
        <v>8.3117090477957678E-2</v>
      </c>
    </row>
    <row r="298" spans="2:6" x14ac:dyDescent="0.2">
      <c r="B298">
        <f t="shared" si="11"/>
        <v>655</v>
      </c>
      <c r="C298">
        <v>1.2472743531267421</v>
      </c>
      <c r="D298">
        <f t="shared" si="9"/>
        <v>1.9391027608262057E-4</v>
      </c>
      <c r="F298">
        <f t="shared" si="10"/>
        <v>0.12701123083411647</v>
      </c>
    </row>
    <row r="299" spans="2:6" x14ac:dyDescent="0.2">
      <c r="B299">
        <f t="shared" si="11"/>
        <v>660</v>
      </c>
      <c r="C299">
        <v>1.2468912038360329</v>
      </c>
      <c r="D299">
        <f t="shared" si="9"/>
        <v>5.7705956679177106E-4</v>
      </c>
      <c r="F299">
        <f t="shared" si="10"/>
        <v>0.3808593140825689</v>
      </c>
    </row>
    <row r="300" spans="2:6" x14ac:dyDescent="0.2">
      <c r="B300">
        <f t="shared" si="11"/>
        <v>665</v>
      </c>
      <c r="C300">
        <v>1.2464482987146082</v>
      </c>
      <c r="D300">
        <f t="shared" si="9"/>
        <v>1.0199646882165236E-3</v>
      </c>
      <c r="F300">
        <f t="shared" si="10"/>
        <v>0.67827651766398822</v>
      </c>
    </row>
    <row r="301" spans="2:6" x14ac:dyDescent="0.2">
      <c r="B301">
        <f t="shared" si="11"/>
        <v>670</v>
      </c>
      <c r="C301">
        <v>1.2460927815491754</v>
      </c>
      <c r="D301">
        <f t="shared" si="9"/>
        <v>1.3754818536493296E-3</v>
      </c>
      <c r="F301">
        <f t="shared" si="10"/>
        <v>0.92157284194505085</v>
      </c>
    </row>
    <row r="302" spans="2:6" x14ac:dyDescent="0.2">
      <c r="B302">
        <f t="shared" si="11"/>
        <v>675</v>
      </c>
      <c r="C302">
        <v>1.2465684833349142</v>
      </c>
      <c r="D302">
        <f t="shared" si="9"/>
        <v>8.9978006791047171E-4</v>
      </c>
      <c r="F302">
        <f t="shared" si="10"/>
        <v>0.60735154583956841</v>
      </c>
    </row>
    <row r="303" spans="2:6" x14ac:dyDescent="0.2">
      <c r="B303">
        <f t="shared" si="11"/>
        <v>680</v>
      </c>
      <c r="C303">
        <v>1.2469786172020951</v>
      </c>
      <c r="D303">
        <f t="shared" si="9"/>
        <v>4.8964620072955434E-4</v>
      </c>
      <c r="F303">
        <f t="shared" si="10"/>
        <v>0.33295941649609695</v>
      </c>
    </row>
    <row r="304" spans="2:6" x14ac:dyDescent="0.2">
      <c r="B304">
        <f t="shared" si="11"/>
        <v>685</v>
      </c>
      <c r="C304">
        <v>1.2473247172554256</v>
      </c>
      <c r="D304">
        <f t="shared" si="9"/>
        <v>1.4354614739908733E-4</v>
      </c>
      <c r="F304">
        <f t="shared" si="10"/>
        <v>9.8329110968374822E-2</v>
      </c>
    </row>
    <row r="305" spans="2:6" x14ac:dyDescent="0.2">
      <c r="B305">
        <f t="shared" si="11"/>
        <v>690</v>
      </c>
      <c r="C305">
        <v>1.2476082804161854</v>
      </c>
      <c r="D305">
        <f t="shared" si="9"/>
        <v>1.4001701336074923E-4</v>
      </c>
      <c r="F305">
        <f t="shared" si="10"/>
        <v>9.661173921891697E-2</v>
      </c>
    </row>
    <row r="306" spans="2:6" x14ac:dyDescent="0.2">
      <c r="B306">
        <f t="shared" si="11"/>
        <v>695</v>
      </c>
      <c r="C306">
        <v>1.2478307675171922</v>
      </c>
      <c r="D306">
        <f t="shared" si="9"/>
        <v>3.625041143675567E-4</v>
      </c>
      <c r="F306">
        <f t="shared" si="10"/>
        <v>0.2519403594854519</v>
      </c>
    </row>
    <row r="307" spans="2:6" x14ac:dyDescent="0.2">
      <c r="B307">
        <f t="shared" si="11"/>
        <v>700</v>
      </c>
      <c r="C307">
        <v>1.247993604122781</v>
      </c>
      <c r="D307">
        <f t="shared" si="9"/>
        <v>5.2534071995635756E-4</v>
      </c>
      <c r="F307">
        <f t="shared" si="10"/>
        <v>0.36773850396945029</v>
      </c>
    </row>
    <row r="308" spans="2:6" x14ac:dyDescent="0.2">
      <c r="B308">
        <f t="shared" si="11"/>
        <v>705</v>
      </c>
      <c r="C308">
        <v>1.2480981815263474</v>
      </c>
      <c r="D308">
        <f t="shared" si="9"/>
        <v>6.2991812352275467E-4</v>
      </c>
      <c r="F308">
        <f t="shared" si="10"/>
        <v>0.44409227708354204</v>
      </c>
    </row>
    <row r="309" spans="2:6" x14ac:dyDescent="0.2">
      <c r="B309">
        <f t="shared" si="11"/>
        <v>710</v>
      </c>
      <c r="C309">
        <v>1.2481458576247566</v>
      </c>
      <c r="D309">
        <f t="shared" si="9"/>
        <v>6.7759422193192087E-4</v>
      </c>
      <c r="F309">
        <f t="shared" si="10"/>
        <v>0.48109189757166382</v>
      </c>
    </row>
    <row r="310" spans="2:6" x14ac:dyDescent="0.2">
      <c r="B310">
        <f t="shared" si="11"/>
        <v>715</v>
      </c>
      <c r="C310">
        <v>1.2481379577235068</v>
      </c>
      <c r="D310">
        <f t="shared" si="9"/>
        <v>6.6969432068209045E-4</v>
      </c>
      <c r="F310">
        <f t="shared" si="10"/>
        <v>0.47883143928769467</v>
      </c>
    </row>
    <row r="311" spans="2:6" x14ac:dyDescent="0.2">
      <c r="B311">
        <f t="shared" si="11"/>
        <v>720</v>
      </c>
      <c r="C311">
        <v>1.2480757754836154</v>
      </c>
      <c r="D311">
        <f t="shared" si="9"/>
        <v>6.0751208079068419E-4</v>
      </c>
      <c r="F311">
        <f t="shared" si="10"/>
        <v>0.43740869816929262</v>
      </c>
    </row>
    <row r="312" spans="2:6" x14ac:dyDescent="0.2">
      <c r="B312">
        <f t="shared" si="11"/>
        <v>725</v>
      </c>
      <c r="C312">
        <v>1.2479605736715458</v>
      </c>
      <c r="D312">
        <f t="shared" si="9"/>
        <v>4.9231026872109673E-4</v>
      </c>
      <c r="F312">
        <f t="shared" si="10"/>
        <v>0.35692494482279513</v>
      </c>
    </row>
    <row r="313" spans="2:6" x14ac:dyDescent="0.2">
      <c r="B313">
        <f t="shared" si="11"/>
        <v>730</v>
      </c>
      <c r="C313">
        <v>1.2477935849439814</v>
      </c>
      <c r="D313">
        <f t="shared" si="9"/>
        <v>3.2532154115672007E-4</v>
      </c>
      <c r="F313">
        <f t="shared" si="10"/>
        <v>0.23748472504440565</v>
      </c>
    </row>
    <row r="314" spans="2:6" x14ac:dyDescent="0.2">
      <c r="B314">
        <f t="shared" si="11"/>
        <v>735</v>
      </c>
      <c r="C314">
        <v>1.2475760127192732</v>
      </c>
      <c r="D314">
        <f t="shared" si="9"/>
        <v>1.0774931644852437E-4</v>
      </c>
      <c r="F314">
        <f t="shared" si="10"/>
        <v>7.9195747589665411E-2</v>
      </c>
    </row>
    <row r="315" spans="2:6" x14ac:dyDescent="0.2">
      <c r="B315">
        <f t="shared" si="11"/>
        <v>740</v>
      </c>
      <c r="C315">
        <v>1.2473090318180566</v>
      </c>
      <c r="D315">
        <f t="shared" si="9"/>
        <v>1.5923158476804922E-4</v>
      </c>
      <c r="F315">
        <f t="shared" si="10"/>
        <v>0.11783137272835642</v>
      </c>
    </row>
    <row r="316" spans="2:6" x14ac:dyDescent="0.2">
      <c r="B316">
        <f t="shared" si="11"/>
        <v>745</v>
      </c>
      <c r="C316">
        <v>1.2469937892985545</v>
      </c>
      <c r="D316">
        <f t="shared" si="9"/>
        <v>4.7447410427015058E-4</v>
      </c>
      <c r="F316">
        <f t="shared" si="10"/>
        <v>0.35348320768126218</v>
      </c>
    </row>
    <row r="317" spans="2:6" x14ac:dyDescent="0.2">
      <c r="B317">
        <f t="shared" si="11"/>
        <v>750</v>
      </c>
      <c r="C317">
        <v>1.2466314051102649</v>
      </c>
      <c r="D317">
        <f t="shared" si="9"/>
        <v>8.3685829255975008E-4</v>
      </c>
      <c r="F317">
        <f t="shared" si="10"/>
        <v>0.62764371941981256</v>
      </c>
    </row>
    <row r="318" spans="2:6" x14ac:dyDescent="0.2">
      <c r="B318">
        <f t="shared" si="11"/>
        <v>755</v>
      </c>
      <c r="C318">
        <v>1.2462229727819671</v>
      </c>
      <c r="D318">
        <f t="shared" si="9"/>
        <v>1.2452906208575421E-3</v>
      </c>
      <c r="F318">
        <f t="shared" si="10"/>
        <v>0.94019441874744425</v>
      </c>
    </row>
    <row r="319" spans="2:6" x14ac:dyDescent="0.2">
      <c r="B319">
        <f t="shared" si="11"/>
        <v>760</v>
      </c>
      <c r="C319">
        <v>1.2465596879582286</v>
      </c>
      <c r="D319">
        <f t="shared" si="9"/>
        <v>9.0857544459610473E-4</v>
      </c>
      <c r="F319">
        <f t="shared" si="10"/>
        <v>0.6905173378930396</v>
      </c>
    </row>
    <row r="320" spans="2:6" x14ac:dyDescent="0.2">
      <c r="B320">
        <f t="shared" si="11"/>
        <v>765</v>
      </c>
      <c r="C320">
        <v>1.2469186999645727</v>
      </c>
      <c r="D320">
        <f t="shared" si="9"/>
        <v>5.4956343825196541E-4</v>
      </c>
      <c r="F320">
        <f t="shared" si="10"/>
        <v>0.42041603026275354</v>
      </c>
    </row>
    <row r="321" spans="2:6" x14ac:dyDescent="0.2">
      <c r="B321">
        <f t="shared" si="11"/>
        <v>770</v>
      </c>
      <c r="C321">
        <v>1.247227152325882</v>
      </c>
      <c r="D321">
        <f t="shared" si="9"/>
        <v>2.4111107694269052E-4</v>
      </c>
      <c r="F321">
        <f t="shared" si="10"/>
        <v>0.1856555292458717</v>
      </c>
    </row>
    <row r="322" spans="2:6" x14ac:dyDescent="0.2">
      <c r="B322">
        <f t="shared" si="11"/>
        <v>775</v>
      </c>
      <c r="C322">
        <v>1.2474860972885584</v>
      </c>
      <c r="D322">
        <f t="shared" si="9"/>
        <v>1.7833885733731236E-5</v>
      </c>
      <c r="F322">
        <f t="shared" si="10"/>
        <v>1.3821261443641708E-2</v>
      </c>
    </row>
    <row r="323" spans="2:6" x14ac:dyDescent="0.2">
      <c r="B323">
        <f t="shared" si="11"/>
        <v>780</v>
      </c>
      <c r="C323">
        <v>1.2476965644474691</v>
      </c>
      <c r="D323">
        <f t="shared" si="9"/>
        <v>2.2830104464444112E-4</v>
      </c>
      <c r="F323">
        <f t="shared" si="10"/>
        <v>0.17807481482266407</v>
      </c>
    </row>
    <row r="324" spans="2:6" x14ac:dyDescent="0.2">
      <c r="B324">
        <f t="shared" si="11"/>
        <v>785</v>
      </c>
      <c r="C324">
        <v>1.2478595613225123</v>
      </c>
      <c r="D324">
        <f t="shared" si="9"/>
        <v>3.9129791968761651E-4</v>
      </c>
      <c r="F324">
        <f t="shared" si="10"/>
        <v>0.30716886695477896</v>
      </c>
    </row>
    <row r="325" spans="2:6" x14ac:dyDescent="0.2">
      <c r="B325">
        <f t="shared" si="11"/>
        <v>790</v>
      </c>
      <c r="C325">
        <v>1.2479760738055115</v>
      </c>
      <c r="D325">
        <f t="shared" si="9"/>
        <v>5.0781040268677025E-4</v>
      </c>
      <c r="F325">
        <f t="shared" si="10"/>
        <v>0.40117021812254849</v>
      </c>
    </row>
    <row r="326" spans="2:6" x14ac:dyDescent="0.2">
      <c r="B326">
        <f t="shared" si="11"/>
        <v>795</v>
      </c>
      <c r="C326">
        <v>1.2480470667174111</v>
      </c>
      <c r="D326">
        <f t="shared" si="9"/>
        <v>5.7880331458637357E-4</v>
      </c>
      <c r="F326">
        <f t="shared" si="10"/>
        <v>0.46014863509616699</v>
      </c>
    </row>
    <row r="327" spans="2:6" x14ac:dyDescent="0.2">
      <c r="B327">
        <f t="shared" si="11"/>
        <v>800</v>
      </c>
      <c r="C327">
        <v>1.2480734842519037</v>
      </c>
      <c r="D327">
        <f t="shared" si="9"/>
        <v>6.0522084907899121E-4</v>
      </c>
      <c r="F327">
        <f t="shared" si="10"/>
        <v>0.48417667926319297</v>
      </c>
    </row>
    <row r="328" spans="2:6" x14ac:dyDescent="0.2">
      <c r="B328">
        <f t="shared" si="11"/>
        <v>805</v>
      </c>
      <c r="C328">
        <v>1.2480562505131856</v>
      </c>
      <c r="D328">
        <f t="shared" si="9"/>
        <v>5.8798711036089912E-4</v>
      </c>
      <c r="F328">
        <f t="shared" si="10"/>
        <v>0.47332962384052379</v>
      </c>
    </row>
    <row r="329" spans="2:6" x14ac:dyDescent="0.2">
      <c r="B329">
        <f t="shared" si="11"/>
        <v>810</v>
      </c>
      <c r="C329">
        <v>1.2479962699038671</v>
      </c>
      <c r="D329">
        <f t="shared" ref="D329:D392" si="12">ABS(C329-$E$8)</f>
        <v>5.2800650104245506E-4</v>
      </c>
      <c r="F329">
        <f t="shared" ref="F329:F392" si="13">D329*B329</f>
        <v>0.4276852658443886</v>
      </c>
    </row>
    <row r="330" spans="2:6" x14ac:dyDescent="0.2">
      <c r="B330">
        <f t="shared" si="11"/>
        <v>815</v>
      </c>
      <c r="C330">
        <v>1.247894427621532</v>
      </c>
      <c r="D330">
        <f t="shared" si="12"/>
        <v>4.2616421870733667E-4</v>
      </c>
      <c r="F330">
        <f t="shared" si="13"/>
        <v>0.34732383824647939</v>
      </c>
    </row>
    <row r="331" spans="2:6" x14ac:dyDescent="0.2">
      <c r="B331">
        <f t="shared" si="11"/>
        <v>820</v>
      </c>
      <c r="C331">
        <v>1.2477515900813378</v>
      </c>
      <c r="D331">
        <f t="shared" si="12"/>
        <v>2.8332667851316273E-4</v>
      </c>
      <c r="F331">
        <f t="shared" si="13"/>
        <v>0.23232787638079344</v>
      </c>
    </row>
    <row r="332" spans="2:6" x14ac:dyDescent="0.2">
      <c r="B332">
        <f t="shared" si="11"/>
        <v>825</v>
      </c>
      <c r="C332">
        <v>1.2475686054091522</v>
      </c>
      <c r="D332">
        <f t="shared" si="12"/>
        <v>1.0034200632746959E-4</v>
      </c>
      <c r="F332">
        <f t="shared" si="13"/>
        <v>8.2782155220162412E-2</v>
      </c>
    </row>
    <row r="333" spans="2:6" x14ac:dyDescent="0.2">
      <c r="B333">
        <f t="shared" si="11"/>
        <v>830</v>
      </c>
      <c r="C333">
        <v>1.247346303774886</v>
      </c>
      <c r="D333">
        <f t="shared" si="12"/>
        <v>1.2195962793870585E-4</v>
      </c>
      <c r="F333">
        <f t="shared" si="13"/>
        <v>0.10122649118912586</v>
      </c>
    </row>
    <row r="334" spans="2:6" x14ac:dyDescent="0.2">
      <c r="B334">
        <f t="shared" si="11"/>
        <v>835</v>
      </c>
      <c r="C334">
        <v>1.2470854978434269</v>
      </c>
      <c r="D334">
        <f t="shared" si="12"/>
        <v>3.8276555939775747E-4</v>
      </c>
      <c r="F334">
        <f t="shared" si="13"/>
        <v>0.31960924209712749</v>
      </c>
    </row>
    <row r="335" spans="2:6" x14ac:dyDescent="0.2">
      <c r="B335">
        <f t="shared" si="11"/>
        <v>840</v>
      </c>
      <c r="C335">
        <v>1.2467869832099685</v>
      </c>
      <c r="D335">
        <f t="shared" si="12"/>
        <v>6.812801928561818E-4</v>
      </c>
      <c r="F335">
        <f t="shared" si="13"/>
        <v>0.57227536199919271</v>
      </c>
    </row>
    <row r="336" spans="2:6" x14ac:dyDescent="0.2">
      <c r="B336">
        <f t="shared" si="11"/>
        <v>845</v>
      </c>
      <c r="C336">
        <v>1.2464515387339412</v>
      </c>
      <c r="D336">
        <f t="shared" si="12"/>
        <v>1.016724668883473E-3</v>
      </c>
      <c r="F336">
        <f t="shared" si="13"/>
        <v>0.8591323452065347</v>
      </c>
    </row>
    <row r="337" spans="2:6" x14ac:dyDescent="0.2">
      <c r="B337">
        <f t="shared" ref="B337:B359" si="14">B336+5</f>
        <v>850</v>
      </c>
      <c r="C337">
        <v>1.2465516560871188</v>
      </c>
      <c r="D337">
        <f t="shared" si="12"/>
        <v>9.1660731570586407E-4</v>
      </c>
      <c r="F337">
        <f t="shared" si="13"/>
        <v>0.77911621834998446</v>
      </c>
    </row>
    <row r="338" spans="2:6" x14ac:dyDescent="0.2">
      <c r="B338">
        <f t="shared" si="14"/>
        <v>855</v>
      </c>
      <c r="C338">
        <v>1.2468686370448983</v>
      </c>
      <c r="D338">
        <f t="shared" si="12"/>
        <v>5.9962635792643049E-4</v>
      </c>
      <c r="F338">
        <f t="shared" si="13"/>
        <v>0.51268053602709807</v>
      </c>
    </row>
    <row r="339" spans="2:6" x14ac:dyDescent="0.2">
      <c r="B339">
        <f t="shared" si="14"/>
        <v>860</v>
      </c>
      <c r="C339">
        <v>1.2471451666935767</v>
      </c>
      <c r="D339">
        <f t="shared" si="12"/>
        <v>3.2309670924801637E-4</v>
      </c>
      <c r="F339">
        <f t="shared" si="13"/>
        <v>0.27786316995329408</v>
      </c>
    </row>
    <row r="340" spans="2:6" x14ac:dyDescent="0.2">
      <c r="B340">
        <f t="shared" si="14"/>
        <v>865</v>
      </c>
      <c r="C340">
        <v>1.2473819992418897</v>
      </c>
      <c r="D340">
        <f t="shared" si="12"/>
        <v>8.6264160934934608E-5</v>
      </c>
      <c r="F340">
        <f t="shared" si="13"/>
        <v>7.4618499208718436E-2</v>
      </c>
    </row>
    <row r="341" spans="2:6" x14ac:dyDescent="0.2">
      <c r="B341">
        <f t="shared" si="14"/>
        <v>870</v>
      </c>
      <c r="C341">
        <v>1.2475798743729933</v>
      </c>
      <c r="D341">
        <f t="shared" si="12"/>
        <v>1.1161097016865185E-4</v>
      </c>
      <c r="F341">
        <f t="shared" si="13"/>
        <v>9.7101544046727106E-2</v>
      </c>
    </row>
    <row r="342" spans="2:6" x14ac:dyDescent="0.2">
      <c r="B342">
        <f t="shared" si="14"/>
        <v>875</v>
      </c>
      <c r="C342">
        <v>1.2477395175377244</v>
      </c>
      <c r="D342">
        <f t="shared" si="12"/>
        <v>2.7125413489970107E-4</v>
      </c>
      <c r="F342">
        <f t="shared" si="13"/>
        <v>0.23734736803723844</v>
      </c>
    </row>
    <row r="343" spans="2:6" x14ac:dyDescent="0.2">
      <c r="B343">
        <f t="shared" si="14"/>
        <v>880</v>
      </c>
      <c r="C343">
        <v>1.2478616402601619</v>
      </c>
      <c r="D343">
        <f t="shared" si="12"/>
        <v>3.9337685733720207E-4</v>
      </c>
      <c r="F343">
        <f t="shared" si="13"/>
        <v>0.34617163445673782</v>
      </c>
    </row>
    <row r="344" spans="2:6" x14ac:dyDescent="0.2">
      <c r="B344">
        <f t="shared" si="14"/>
        <v>885</v>
      </c>
      <c r="C344">
        <v>1.247946940388291</v>
      </c>
      <c r="D344">
        <f t="shared" si="12"/>
        <v>4.7867698546633086E-4</v>
      </c>
      <c r="F344">
        <f t="shared" si="13"/>
        <v>0.42362913213770281</v>
      </c>
    </row>
    <row r="345" spans="2:6" x14ac:dyDescent="0.2">
      <c r="B345">
        <f t="shared" si="14"/>
        <v>890</v>
      </c>
      <c r="C345">
        <v>1.2479961024604278</v>
      </c>
      <c r="D345">
        <f t="shared" si="12"/>
        <v>5.2783905760311889E-4</v>
      </c>
      <c r="F345">
        <f t="shared" si="13"/>
        <v>0.46977676126677581</v>
      </c>
    </row>
    <row r="346" spans="2:6" x14ac:dyDescent="0.2">
      <c r="B346">
        <f t="shared" si="14"/>
        <v>895</v>
      </c>
      <c r="C346">
        <v>1.2480097978596263</v>
      </c>
      <c r="D346">
        <f t="shared" si="12"/>
        <v>5.4153445680160672E-4</v>
      </c>
      <c r="F346">
        <f t="shared" si="13"/>
        <v>0.48467333883743802</v>
      </c>
    </row>
    <row r="347" spans="2:6" x14ac:dyDescent="0.2">
      <c r="B347">
        <f t="shared" si="14"/>
        <v>900</v>
      </c>
      <c r="C347">
        <v>1.2479886852022901</v>
      </c>
      <c r="D347">
        <f t="shared" si="12"/>
        <v>5.2042179946543143E-4</v>
      </c>
      <c r="F347">
        <f t="shared" si="13"/>
        <v>0.46837961951888829</v>
      </c>
    </row>
    <row r="348" spans="2:6" x14ac:dyDescent="0.2">
      <c r="B348">
        <f t="shared" si="14"/>
        <v>905</v>
      </c>
      <c r="C348">
        <v>1.2479334105138833</v>
      </c>
      <c r="D348">
        <f t="shared" si="12"/>
        <v>4.6514711105860584E-4</v>
      </c>
      <c r="F348">
        <f t="shared" si="13"/>
        <v>0.42095813550803829</v>
      </c>
    </row>
    <row r="349" spans="2:6" x14ac:dyDescent="0.2">
      <c r="B349">
        <f t="shared" si="14"/>
        <v>910</v>
      </c>
      <c r="C349">
        <v>1.2478446075563756</v>
      </c>
      <c r="D349">
        <f t="shared" si="12"/>
        <v>3.7634415355092266E-4</v>
      </c>
      <c r="F349">
        <f t="shared" si="13"/>
        <v>0.34247317973133962</v>
      </c>
    </row>
    <row r="350" spans="2:6" x14ac:dyDescent="0.2">
      <c r="B350">
        <f t="shared" si="14"/>
        <v>915</v>
      </c>
      <c r="C350">
        <v>1.2477228980419377</v>
      </c>
      <c r="D350">
        <f t="shared" si="12"/>
        <v>2.5463463911301609E-4</v>
      </c>
      <c r="F350">
        <f t="shared" si="13"/>
        <v>0.23299069478840972</v>
      </c>
    </row>
    <row r="351" spans="2:6" x14ac:dyDescent="0.2">
      <c r="B351">
        <f t="shared" si="14"/>
        <v>920</v>
      </c>
      <c r="C351">
        <v>1.2475688918990191</v>
      </c>
      <c r="D351">
        <f t="shared" si="12"/>
        <v>1.0062849619441039E-4</v>
      </c>
      <c r="F351">
        <f t="shared" si="13"/>
        <v>9.2578216498857557E-2</v>
      </c>
    </row>
    <row r="352" spans="2:6" x14ac:dyDescent="0.2">
      <c r="B352">
        <f t="shared" si="14"/>
        <v>925</v>
      </c>
      <c r="C352">
        <v>1.247383187499105</v>
      </c>
      <c r="D352">
        <f t="shared" si="12"/>
        <v>8.5075903719644685E-5</v>
      </c>
      <c r="F352">
        <f t="shared" si="13"/>
        <v>7.8695210940671334E-2</v>
      </c>
    </row>
    <row r="353" spans="2:6" x14ac:dyDescent="0.2">
      <c r="B353">
        <f t="shared" si="14"/>
        <v>930</v>
      </c>
      <c r="C353">
        <v>1.247166371899292</v>
      </c>
      <c r="D353">
        <f t="shared" si="12"/>
        <v>3.0189150353265859E-4</v>
      </c>
      <c r="F353">
        <f t="shared" si="13"/>
        <v>0.28075909828537249</v>
      </c>
    </row>
    <row r="354" spans="2:6" x14ac:dyDescent="0.2">
      <c r="B354">
        <f t="shared" si="14"/>
        <v>935</v>
      </c>
      <c r="C354">
        <v>1.2469190210952579</v>
      </c>
      <c r="D354">
        <f t="shared" si="12"/>
        <v>5.4924230756681069E-4</v>
      </c>
      <c r="F354">
        <f t="shared" si="13"/>
        <v>0.513541557574968</v>
      </c>
    </row>
    <row r="355" spans="2:6" x14ac:dyDescent="0.2">
      <c r="B355">
        <f t="shared" si="14"/>
        <v>940</v>
      </c>
      <c r="C355">
        <v>1.2466417002183436</v>
      </c>
      <c r="D355">
        <f t="shared" si="12"/>
        <v>8.2656318448104393E-4</v>
      </c>
      <c r="F355">
        <f t="shared" si="13"/>
        <v>0.7769693934121813</v>
      </c>
    </row>
    <row r="356" spans="2:6" x14ac:dyDescent="0.2">
      <c r="B356">
        <f t="shared" si="14"/>
        <v>945</v>
      </c>
      <c r="C356">
        <v>1.2465444292253649</v>
      </c>
      <c r="D356">
        <f t="shared" si="12"/>
        <v>9.2383417745978136E-4</v>
      </c>
      <c r="F356">
        <f t="shared" si="13"/>
        <v>0.87302329769949338</v>
      </c>
    </row>
    <row r="357" spans="2:6" x14ac:dyDescent="0.2">
      <c r="B357">
        <f t="shared" si="14"/>
        <v>950</v>
      </c>
      <c r="C357">
        <v>1.2468264235258215</v>
      </c>
      <c r="D357">
        <f t="shared" si="12"/>
        <v>6.4183987700316969E-4</v>
      </c>
      <c r="F357">
        <f t="shared" si="13"/>
        <v>0.60974788315301121</v>
      </c>
    </row>
    <row r="358" spans="2:6" x14ac:dyDescent="0.2">
      <c r="B358">
        <f t="shared" si="14"/>
        <v>955</v>
      </c>
      <c r="C358">
        <v>1.2470756696318923</v>
      </c>
      <c r="D358">
        <f t="shared" si="12"/>
        <v>3.9259377093237013E-4</v>
      </c>
      <c r="F358">
        <f t="shared" si="13"/>
        <v>0.37492705124041348</v>
      </c>
    </row>
    <row r="359" spans="2:6" x14ac:dyDescent="0.2">
      <c r="B359">
        <f t="shared" si="14"/>
        <v>960</v>
      </c>
      <c r="C359">
        <v>1.2472927176628938</v>
      </c>
      <c r="D359">
        <f t="shared" si="12"/>
        <v>1.75545739930838E-4</v>
      </c>
      <c r="F359">
        <f t="shared" si="13"/>
        <v>0.16852391033360448</v>
      </c>
    </row>
    <row r="360" spans="2:6" x14ac:dyDescent="0.2">
      <c r="B360">
        <f>B359+5</f>
        <v>965</v>
      </c>
      <c r="C360">
        <v>1.2474781082266722</v>
      </c>
      <c r="D360">
        <f t="shared" si="12"/>
        <v>9.8448238474713179E-6</v>
      </c>
      <c r="F360">
        <f t="shared" si="13"/>
        <v>9.5002550128098218E-3</v>
      </c>
    </row>
    <row r="361" spans="2:6" x14ac:dyDescent="0.2">
      <c r="B361">
        <f t="shared" ref="B361:B364" si="15">B360+5</f>
        <v>970</v>
      </c>
      <c r="C361">
        <v>1.2476323725216982</v>
      </c>
      <c r="D361">
        <f t="shared" si="12"/>
        <v>1.6410911887354551E-4</v>
      </c>
      <c r="F361">
        <f t="shared" si="13"/>
        <v>0.15918584530733915</v>
      </c>
    </row>
    <row r="362" spans="2:6" x14ac:dyDescent="0.2">
      <c r="B362">
        <f t="shared" si="15"/>
        <v>975</v>
      </c>
      <c r="C362">
        <v>1.2477560325530812</v>
      </c>
      <c r="D362">
        <f t="shared" si="12"/>
        <v>2.8776915025652272E-4</v>
      </c>
      <c r="F362">
        <f t="shared" si="13"/>
        <v>0.28057492150010965</v>
      </c>
    </row>
    <row r="363" spans="2:6" x14ac:dyDescent="0.2">
      <c r="B363">
        <f t="shared" si="15"/>
        <v>980</v>
      </c>
      <c r="C363">
        <v>1.2478496013409055</v>
      </c>
      <c r="D363">
        <f t="shared" si="12"/>
        <v>3.8133793808081684E-4</v>
      </c>
      <c r="F363">
        <f t="shared" si="13"/>
        <v>0.3737111793192005</v>
      </c>
    </row>
    <row r="364" spans="2:6" x14ac:dyDescent="0.2">
      <c r="B364">
        <f t="shared" si="15"/>
        <v>985</v>
      </c>
      <c r="C364">
        <v>1.2479135829773496</v>
      </c>
      <c r="D364">
        <f t="shared" si="12"/>
        <v>4.453195745248717E-4</v>
      </c>
      <c r="F364">
        <f t="shared" si="13"/>
        <v>0.43863978090699862</v>
      </c>
    </row>
    <row r="365" spans="2:6" x14ac:dyDescent="0.2">
      <c r="B365">
        <f>B364+5</f>
        <v>990</v>
      </c>
      <c r="C365">
        <v>1.2479484729095558</v>
      </c>
      <c r="D365">
        <f t="shared" si="12"/>
        <v>4.8020950673111074E-4</v>
      </c>
      <c r="F365">
        <f t="shared" si="13"/>
        <v>0.47540741166379963</v>
      </c>
    </row>
    <row r="366" spans="2:6" x14ac:dyDescent="0.2">
      <c r="B366">
        <f t="shared" ref="B366" si="16">B365+5</f>
        <v>995</v>
      </c>
      <c r="C366">
        <v>1.2479547580516941</v>
      </c>
      <c r="D366">
        <f t="shared" si="12"/>
        <v>4.8649464886940663E-4</v>
      </c>
      <c r="F366">
        <f t="shared" si="13"/>
        <v>0.4840621756250596</v>
      </c>
    </row>
    <row r="367" spans="2:6" x14ac:dyDescent="0.2">
      <c r="B367">
        <f>B366+5</f>
        <v>1000</v>
      </c>
      <c r="C367">
        <v>1.2479329169380429</v>
      </c>
      <c r="D367">
        <f t="shared" si="12"/>
        <v>4.6465353521818464E-4</v>
      </c>
      <c r="F367">
        <f t="shared" si="13"/>
        <v>0.46465353521818464</v>
      </c>
    </row>
    <row r="368" spans="2:6" x14ac:dyDescent="0.2">
      <c r="B368">
        <f>B367+50</f>
        <v>1050</v>
      </c>
      <c r="C368">
        <v>1.2467905356554252</v>
      </c>
      <c r="D368">
        <f t="shared" si="12"/>
        <v>6.7772774739949249E-4</v>
      </c>
      <c r="F368">
        <f t="shared" si="13"/>
        <v>0.71161413476946711</v>
      </c>
    </row>
    <row r="369" spans="2:6" x14ac:dyDescent="0.2">
      <c r="B369">
        <f t="shared" ref="B369:B387" si="17">B368+50</f>
        <v>1100</v>
      </c>
      <c r="C369">
        <v>1.2479075334484897</v>
      </c>
      <c r="D369">
        <f t="shared" si="12"/>
        <v>4.3927004566501893E-4</v>
      </c>
      <c r="F369">
        <f t="shared" si="13"/>
        <v>0.48319705023152082</v>
      </c>
    </row>
    <row r="370" spans="2:6" x14ac:dyDescent="0.2">
      <c r="B370">
        <f t="shared" si="17"/>
        <v>1150</v>
      </c>
      <c r="C370">
        <v>1.2467205607359224</v>
      </c>
      <c r="D370">
        <f t="shared" si="12"/>
        <v>7.4770266690227238E-4</v>
      </c>
      <c r="F370">
        <f t="shared" si="13"/>
        <v>0.85985806693761324</v>
      </c>
    </row>
    <row r="371" spans="2:6" x14ac:dyDescent="0.2">
      <c r="B371">
        <f t="shared" si="17"/>
        <v>1200</v>
      </c>
      <c r="C371">
        <v>1.2478473906593341</v>
      </c>
      <c r="D371">
        <f t="shared" si="12"/>
        <v>3.7912725650945944E-4</v>
      </c>
      <c r="F371">
        <f t="shared" si="13"/>
        <v>0.45495270781135133</v>
      </c>
    </row>
    <row r="372" spans="2:6" x14ac:dyDescent="0.2">
      <c r="B372">
        <f t="shared" si="17"/>
        <v>1250</v>
      </c>
      <c r="C372">
        <v>1.2472063160823836</v>
      </c>
      <c r="D372">
        <f t="shared" si="12"/>
        <v>2.6194732044104718E-4</v>
      </c>
      <c r="F372">
        <f t="shared" si="13"/>
        <v>0.32743415055130898</v>
      </c>
    </row>
    <row r="373" spans="2:6" x14ac:dyDescent="0.2">
      <c r="B373">
        <f t="shared" si="17"/>
        <v>1300</v>
      </c>
      <c r="C373">
        <v>1.2476723125570166</v>
      </c>
      <c r="D373">
        <f t="shared" si="12"/>
        <v>2.0404915419192093E-4</v>
      </c>
      <c r="F373">
        <f t="shared" si="13"/>
        <v>0.26526390044949721</v>
      </c>
    </row>
    <row r="374" spans="2:6" x14ac:dyDescent="0.2">
      <c r="B374">
        <f t="shared" si="17"/>
        <v>1350</v>
      </c>
      <c r="C374">
        <v>1.2475960171043612</v>
      </c>
      <c r="D374">
        <f t="shared" si="12"/>
        <v>1.2775370153650378E-4</v>
      </c>
      <c r="F374">
        <f t="shared" si="13"/>
        <v>0.17246749707428011</v>
      </c>
    </row>
    <row r="375" spans="2:6" x14ac:dyDescent="0.2">
      <c r="B375">
        <f t="shared" si="17"/>
        <v>1400</v>
      </c>
      <c r="C375">
        <v>1.2473074382372846</v>
      </c>
      <c r="D375">
        <f t="shared" si="12"/>
        <v>1.6082516554005721E-4</v>
      </c>
      <c r="F375">
        <f t="shared" si="13"/>
        <v>0.2251552317560801</v>
      </c>
    </row>
    <row r="376" spans="2:6" x14ac:dyDescent="0.2">
      <c r="B376">
        <f t="shared" si="17"/>
        <v>1450</v>
      </c>
      <c r="C376">
        <v>1.2477883106307677</v>
      </c>
      <c r="D376">
        <f t="shared" si="12"/>
        <v>3.2004722794298779E-4</v>
      </c>
      <c r="F376">
        <f t="shared" si="13"/>
        <v>0.46406848051733229</v>
      </c>
    </row>
    <row r="377" spans="2:6" x14ac:dyDescent="0.2">
      <c r="B377">
        <f>B376+50</f>
        <v>1500</v>
      </c>
      <c r="C377">
        <v>1.2469512235475182</v>
      </c>
      <c r="D377">
        <f t="shared" si="12"/>
        <v>5.1703985530648922E-4</v>
      </c>
      <c r="F377">
        <f t="shared" si="13"/>
        <v>0.77555978295973382</v>
      </c>
    </row>
    <row r="378" spans="2:6" x14ac:dyDescent="0.2">
      <c r="B378">
        <f t="shared" si="17"/>
        <v>1550</v>
      </c>
      <c r="C378">
        <v>1.2477063857892348</v>
      </c>
      <c r="D378">
        <f t="shared" si="12"/>
        <v>2.3812238641007788E-4</v>
      </c>
      <c r="F378">
        <f t="shared" si="13"/>
        <v>0.36908969893562071</v>
      </c>
    </row>
    <row r="379" spans="2:6" x14ac:dyDescent="0.2">
      <c r="B379">
        <f t="shared" si="17"/>
        <v>1600</v>
      </c>
      <c r="C379">
        <v>1.2475435719255203</v>
      </c>
      <c r="D379">
        <f t="shared" si="12"/>
        <v>7.5308522695660685E-5</v>
      </c>
      <c r="F379">
        <f t="shared" si="13"/>
        <v>0.1204936363130571</v>
      </c>
    </row>
    <row r="380" spans="2:6" x14ac:dyDescent="0.2">
      <c r="B380">
        <f t="shared" si="17"/>
        <v>1650</v>
      </c>
      <c r="C380">
        <v>1.2472941261897152</v>
      </c>
      <c r="D380">
        <f t="shared" si="12"/>
        <v>1.7413721310943764E-4</v>
      </c>
      <c r="F380">
        <f t="shared" si="13"/>
        <v>0.2873264016305721</v>
      </c>
    </row>
    <row r="381" spans="2:6" x14ac:dyDescent="0.2">
      <c r="B381">
        <f t="shared" si="17"/>
        <v>1700</v>
      </c>
      <c r="C381">
        <v>1.2477525615845342</v>
      </c>
      <c r="D381">
        <f t="shared" si="12"/>
        <v>2.8429818170949694E-4</v>
      </c>
      <c r="F381">
        <f t="shared" si="13"/>
        <v>0.48330690890614481</v>
      </c>
    </row>
    <row r="382" spans="2:6" x14ac:dyDescent="0.2">
      <c r="B382">
        <f t="shared" si="17"/>
        <v>1750</v>
      </c>
      <c r="C382">
        <v>1.247247355281484</v>
      </c>
      <c r="D382">
        <f t="shared" si="12"/>
        <v>2.2090812134067939E-4</v>
      </c>
      <c r="F382">
        <f t="shared" si="13"/>
        <v>0.38658921234618893</v>
      </c>
    </row>
    <row r="383" spans="2:6" x14ac:dyDescent="0.2">
      <c r="B383">
        <f t="shared" si="17"/>
        <v>1800</v>
      </c>
      <c r="C383">
        <v>1.2475412021666139</v>
      </c>
      <c r="D383">
        <f t="shared" si="12"/>
        <v>7.2938763789220928E-5</v>
      </c>
      <c r="F383">
        <f t="shared" si="13"/>
        <v>0.13128977482059767</v>
      </c>
    </row>
    <row r="384" spans="2:6" x14ac:dyDescent="0.2">
      <c r="B384">
        <f t="shared" si="17"/>
        <v>1850</v>
      </c>
      <c r="C384">
        <v>1.247688096917162</v>
      </c>
      <c r="D384">
        <f t="shared" si="12"/>
        <v>2.1983351433729759E-4</v>
      </c>
      <c r="F384">
        <f t="shared" si="13"/>
        <v>0.40669200152400053</v>
      </c>
    </row>
    <row r="385" spans="2:6" x14ac:dyDescent="0.2">
      <c r="B385">
        <f t="shared" si="17"/>
        <v>1900</v>
      </c>
      <c r="C385">
        <v>1.2470299946553605</v>
      </c>
      <c r="D385">
        <f t="shared" si="12"/>
        <v>4.3826874746422106E-4</v>
      </c>
      <c r="F385">
        <f t="shared" si="13"/>
        <v>0.83271062018202002</v>
      </c>
    </row>
    <row r="386" spans="2:6" x14ac:dyDescent="0.2">
      <c r="B386">
        <f>B385+50</f>
        <v>1950</v>
      </c>
      <c r="C386">
        <v>1.2476267869257849</v>
      </c>
      <c r="D386">
        <f t="shared" si="12"/>
        <v>1.5852352296019667E-4</v>
      </c>
      <c r="F386">
        <f t="shared" si="13"/>
        <v>0.30912086977238351</v>
      </c>
    </row>
    <row r="387" spans="2:6" x14ac:dyDescent="0.2">
      <c r="B387">
        <f t="shared" si="17"/>
        <v>2000</v>
      </c>
      <c r="C387">
        <v>1.2476213559156086</v>
      </c>
      <c r="D387">
        <f t="shared" si="12"/>
        <v>1.5309251278394775E-4</v>
      </c>
      <c r="F387">
        <f t="shared" si="13"/>
        <v>0.30618502556789551</v>
      </c>
    </row>
    <row r="388" spans="2:6" x14ac:dyDescent="0.2">
      <c r="B388">
        <f>B387+200</f>
        <v>2200</v>
      </c>
      <c r="C388">
        <v>1.2471050791625873</v>
      </c>
      <c r="D388">
        <f t="shared" si="12"/>
        <v>3.6318424023740192E-4</v>
      </c>
      <c r="F388">
        <f t="shared" si="13"/>
        <v>0.79900532852228423</v>
      </c>
    </row>
    <row r="389" spans="2:6" x14ac:dyDescent="0.2">
      <c r="B389">
        <f t="shared" ref="B389:B402" si="18">B388+200</f>
        <v>2400</v>
      </c>
      <c r="C389">
        <v>1.2475911825152182</v>
      </c>
      <c r="D389">
        <f t="shared" si="12"/>
        <v>1.2291911239348252E-4</v>
      </c>
      <c r="F389">
        <f t="shared" si="13"/>
        <v>0.29500586974435805</v>
      </c>
    </row>
    <row r="390" spans="2:6" x14ac:dyDescent="0.2">
      <c r="B390">
        <f t="shared" si="18"/>
        <v>2600</v>
      </c>
      <c r="C390">
        <v>1.247646696091782</v>
      </c>
      <c r="D390">
        <f t="shared" si="12"/>
        <v>1.7843268895734177E-4</v>
      </c>
      <c r="F390">
        <f t="shared" si="13"/>
        <v>0.4639249912890886</v>
      </c>
    </row>
    <row r="391" spans="2:6" x14ac:dyDescent="0.2">
      <c r="B391">
        <f t="shared" si="18"/>
        <v>2800</v>
      </c>
      <c r="C391">
        <v>1.247509511940488</v>
      </c>
      <c r="D391">
        <f t="shared" si="12"/>
        <v>4.1248537663296503E-5</v>
      </c>
      <c r="F391">
        <f t="shared" si="13"/>
        <v>0.11549590545723021</v>
      </c>
    </row>
    <row r="392" spans="2:6" x14ac:dyDescent="0.2">
      <c r="B392">
        <f t="shared" si="18"/>
        <v>3000</v>
      </c>
      <c r="C392">
        <v>1.2473142617424464</v>
      </c>
      <c r="D392">
        <f t="shared" si="12"/>
        <v>1.5400166037826679E-4</v>
      </c>
      <c r="F392">
        <f t="shared" si="13"/>
        <v>0.46200498113480037</v>
      </c>
    </row>
    <row r="393" spans="2:6" x14ac:dyDescent="0.2">
      <c r="B393">
        <f t="shared" si="18"/>
        <v>3200</v>
      </c>
      <c r="C393">
        <v>1.2471968053177522</v>
      </c>
      <c r="D393">
        <f t="shared" ref="D393:D412" si="19">ABS(C393-$E$8)</f>
        <v>2.7145808507245128E-4</v>
      </c>
      <c r="F393">
        <f t="shared" ref="F393:F412" si="20">D393*B393</f>
        <v>0.86866587223184411</v>
      </c>
    </row>
    <row r="394" spans="2:6" x14ac:dyDescent="0.2">
      <c r="B394">
        <f t="shared" si="18"/>
        <v>3400</v>
      </c>
      <c r="C394">
        <v>1.2473306823135817</v>
      </c>
      <c r="D394">
        <f t="shared" si="19"/>
        <v>1.3758108924299961E-4</v>
      </c>
      <c r="F394">
        <f t="shared" si="20"/>
        <v>0.46777570342619867</v>
      </c>
    </row>
    <row r="395" spans="2:6" x14ac:dyDescent="0.2">
      <c r="B395">
        <f t="shared" si="18"/>
        <v>3600</v>
      </c>
      <c r="C395">
        <v>1.247396034743175</v>
      </c>
      <c r="D395">
        <f t="shared" si="19"/>
        <v>7.2228659649731242E-5</v>
      </c>
      <c r="F395">
        <f t="shared" si="20"/>
        <v>0.26002317473903247</v>
      </c>
    </row>
    <row r="396" spans="2:6" x14ac:dyDescent="0.2">
      <c r="B396">
        <f>B395+200</f>
        <v>3800</v>
      </c>
      <c r="C396">
        <v>1.247419503698445</v>
      </c>
      <c r="D396">
        <f t="shared" si="19"/>
        <v>4.8759704379675028E-5</v>
      </c>
      <c r="F396">
        <f t="shared" si="20"/>
        <v>0.18528687664276511</v>
      </c>
    </row>
    <row r="397" spans="2:6" x14ac:dyDescent="0.2">
      <c r="B397">
        <f t="shared" si="18"/>
        <v>4000</v>
      </c>
      <c r="C397">
        <v>1.2474141457713144</v>
      </c>
      <c r="D397">
        <f t="shared" si="19"/>
        <v>5.4117631510308684E-5</v>
      </c>
      <c r="F397">
        <f t="shared" si="20"/>
        <v>0.21647052604123473</v>
      </c>
    </row>
    <row r="398" spans="2:6" x14ac:dyDescent="0.2">
      <c r="B398">
        <f t="shared" si="18"/>
        <v>4200</v>
      </c>
      <c r="C398">
        <v>1.2473844236040608</v>
      </c>
      <c r="D398">
        <f t="shared" si="19"/>
        <v>8.3839798763918338E-5</v>
      </c>
      <c r="F398">
        <f t="shared" si="20"/>
        <v>0.35212715480845702</v>
      </c>
    </row>
    <row r="399" spans="2:6" x14ac:dyDescent="0.2">
      <c r="B399">
        <f>B398+200</f>
        <v>4400</v>
      </c>
      <c r="C399">
        <v>1.2473294765763772</v>
      </c>
      <c r="D399">
        <f t="shared" si="19"/>
        <v>1.3878682644752338E-4</v>
      </c>
      <c r="F399">
        <f t="shared" si="20"/>
        <v>0.61066203636910288</v>
      </c>
    </row>
    <row r="400" spans="2:6" x14ac:dyDescent="0.2">
      <c r="B400">
        <f t="shared" si="18"/>
        <v>4600</v>
      </c>
      <c r="C400">
        <v>1.2472708060422484</v>
      </c>
      <c r="D400">
        <f t="shared" si="19"/>
        <v>1.9745736057630303E-4</v>
      </c>
      <c r="F400">
        <f t="shared" si="20"/>
        <v>0.90830385865099394</v>
      </c>
    </row>
    <row r="401" spans="2:6" x14ac:dyDescent="0.2">
      <c r="B401">
        <f>B400+200</f>
        <v>4800</v>
      </c>
      <c r="C401">
        <v>1.247382580712902</v>
      </c>
      <c r="D401">
        <f t="shared" si="19"/>
        <v>8.568268992270589E-5</v>
      </c>
      <c r="F401">
        <f t="shared" si="20"/>
        <v>0.41127691162898827</v>
      </c>
    </row>
    <row r="402" spans="2:6" x14ac:dyDescent="0.2">
      <c r="B402">
        <f t="shared" si="18"/>
        <v>5000</v>
      </c>
      <c r="C402">
        <v>1.247475866493869</v>
      </c>
      <c r="D402">
        <f t="shared" si="19"/>
        <v>7.6030910443058985E-6</v>
      </c>
      <c r="F402">
        <f t="shared" si="20"/>
        <v>3.8015455221529493E-2</v>
      </c>
    </row>
    <row r="403" spans="2:6" x14ac:dyDescent="0.2">
      <c r="B403">
        <f>B402+500</f>
        <v>5500</v>
      </c>
      <c r="C403">
        <v>1.2473735401255595</v>
      </c>
      <c r="D403">
        <f t="shared" si="19"/>
        <v>9.4723277265229555E-5</v>
      </c>
      <c r="F403">
        <f t="shared" si="20"/>
        <v>0.52097802495876255</v>
      </c>
    </row>
    <row r="404" spans="2:6" x14ac:dyDescent="0.2">
      <c r="B404">
        <f t="shared" ref="B404:B412" si="21">B403+500</f>
        <v>6000</v>
      </c>
      <c r="C404">
        <v>1.2473448099088118</v>
      </c>
      <c r="D404">
        <f t="shared" si="19"/>
        <v>1.2345349401288175E-4</v>
      </c>
      <c r="F404">
        <f t="shared" si="20"/>
        <v>0.74072096407729049</v>
      </c>
    </row>
    <row r="405" spans="2:6" x14ac:dyDescent="0.2">
      <c r="B405">
        <f t="shared" si="21"/>
        <v>6500</v>
      </c>
      <c r="C405">
        <v>1.2473862891402967</v>
      </c>
      <c r="D405">
        <f t="shared" si="19"/>
        <v>8.197426252798401E-5</v>
      </c>
      <c r="F405">
        <f t="shared" si="20"/>
        <v>0.53283270643189606</v>
      </c>
    </row>
    <row r="406" spans="2:6" x14ac:dyDescent="0.2">
      <c r="B406">
        <f t="shared" si="21"/>
        <v>7000</v>
      </c>
      <c r="C406">
        <v>1.2474610493269536</v>
      </c>
      <c r="D406">
        <f t="shared" si="19"/>
        <v>7.214075871120329E-6</v>
      </c>
      <c r="F406">
        <f t="shared" si="20"/>
        <v>5.0498531097842303E-2</v>
      </c>
    </row>
    <row r="407" spans="2:6" x14ac:dyDescent="0.2">
      <c r="B407">
        <f t="shared" si="21"/>
        <v>7500</v>
      </c>
      <c r="C407">
        <v>1.2475211937865389</v>
      </c>
      <c r="D407">
        <f t="shared" si="19"/>
        <v>5.2930383714233642E-5</v>
      </c>
      <c r="F407">
        <f t="shared" si="20"/>
        <v>0.39697787785675231</v>
      </c>
    </row>
    <row r="408" spans="2:6" x14ac:dyDescent="0.2">
      <c r="B408">
        <f t="shared" si="21"/>
        <v>8000</v>
      </c>
      <c r="C408">
        <v>1.2475185334999825</v>
      </c>
      <c r="D408">
        <f t="shared" si="19"/>
        <v>5.0270097157856242E-5</v>
      </c>
      <c r="F408">
        <f t="shared" si="20"/>
        <v>0.40216077726284993</v>
      </c>
    </row>
    <row r="409" spans="2:6" x14ac:dyDescent="0.2">
      <c r="B409">
        <f>B408+500</f>
        <v>8500</v>
      </c>
      <c r="C409">
        <v>1.2474093423755297</v>
      </c>
      <c r="D409">
        <f t="shared" si="19"/>
        <v>5.8921027294989159E-5</v>
      </c>
      <c r="F409">
        <f t="shared" si="20"/>
        <v>0.50082873200740785</v>
      </c>
    </row>
    <row r="410" spans="2:6" x14ac:dyDescent="0.2">
      <c r="B410">
        <f t="shared" si="21"/>
        <v>9000</v>
      </c>
      <c r="C410">
        <v>1.2474838390620966</v>
      </c>
      <c r="D410">
        <f t="shared" si="19"/>
        <v>1.557565927190474E-5</v>
      </c>
      <c r="F410">
        <f t="shared" si="20"/>
        <v>0.14018093344714266</v>
      </c>
    </row>
    <row r="411" spans="2:6" x14ac:dyDescent="0.2">
      <c r="B411">
        <f t="shared" si="21"/>
        <v>9500</v>
      </c>
      <c r="C411">
        <v>1.2475060428917701</v>
      </c>
      <c r="D411">
        <f t="shared" si="19"/>
        <v>3.7779488945455242E-5</v>
      </c>
      <c r="F411">
        <f t="shared" si="20"/>
        <v>0.3589051449818248</v>
      </c>
    </row>
    <row r="412" spans="2:6" x14ac:dyDescent="0.2">
      <c r="B412">
        <f t="shared" si="21"/>
        <v>10000</v>
      </c>
      <c r="C412">
        <v>1.2474127392271348</v>
      </c>
      <c r="D412">
        <f t="shared" si="19"/>
        <v>5.5524175689880551E-5</v>
      </c>
      <c r="F412">
        <f t="shared" si="20"/>
        <v>0.55524175689880551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umberOfSteps">
                <anchor moveWithCells="1">
                  <from>
                    <xdr:col>0</xdr:col>
                    <xdr:colOff>736600</xdr:colOff>
                    <xdr:row>1</xdr:row>
                    <xdr:rowOff>12700</xdr:rowOff>
                  </from>
                  <to>
                    <xdr:col>2</xdr:col>
                    <xdr:colOff>812800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476C9-2637-4283-BD79-C62D71FC351D}">
  <sheetPr codeName="Feuil2"/>
  <dimension ref="B2:J43"/>
  <sheetViews>
    <sheetView showGridLines="0" zoomScale="66" zoomScaleNormal="70" workbookViewId="0">
      <selection activeCell="C16" sqref="C16"/>
    </sheetView>
  </sheetViews>
  <sheetFormatPr baseColWidth="10" defaultRowHeight="15" x14ac:dyDescent="0.2"/>
  <cols>
    <col min="3" max="4" width="28.6640625" customWidth="1"/>
    <col min="5" max="7" width="21.1640625" customWidth="1"/>
    <col min="9" max="9" width="15" customWidth="1"/>
    <col min="10" max="10" width="16.1640625" customWidth="1"/>
  </cols>
  <sheetData>
    <row r="2" spans="2:10" ht="16" thickBot="1" x14ac:dyDescent="0.25">
      <c r="B2" s="37" t="s">
        <v>11</v>
      </c>
      <c r="C2" s="37" t="s">
        <v>23</v>
      </c>
      <c r="D2" s="37" t="s">
        <v>24</v>
      </c>
      <c r="E2" s="37" t="s">
        <v>33</v>
      </c>
      <c r="F2" s="37" t="s">
        <v>34</v>
      </c>
      <c r="G2" s="37" t="s">
        <v>35</v>
      </c>
      <c r="I2" s="28" t="s">
        <v>25</v>
      </c>
      <c r="J2" s="29">
        <v>100</v>
      </c>
    </row>
    <row r="3" spans="2:10" x14ac:dyDescent="0.2">
      <c r="B3">
        <v>80</v>
      </c>
      <c r="C3" t="e" cm="1">
        <f t="array" aca="1" ref="C3" ca="1">pricer_trino($J$5,$J$6,0,$J$3,$J$2,B3,$J$4,$J$3,$J$8,$J$9,$J$7)</f>
        <v>#NAME?</v>
      </c>
      <c r="D3" cm="1">
        <f t="array" ref="D3">BlackScholesCall($J$2,B3,$J$6,$J$5,0,$J$10)</f>
        <v>21.389805370699023</v>
      </c>
      <c r="E3" t="e">
        <f ca="1">C3-D3</f>
        <v>#NAME?</v>
      </c>
      <c r="I3" s="30" t="s">
        <v>26</v>
      </c>
      <c r="J3" s="31">
        <v>44980</v>
      </c>
    </row>
    <row r="4" spans="2:10" x14ac:dyDescent="0.2">
      <c r="B4">
        <v>81</v>
      </c>
      <c r="C4" t="e" cm="1">
        <f t="array" aca="1" ref="C4" ca="1">pricer_trino($J$5,$J$6,0,$J$3,$J$2,B4,$J$4,$J$3,$J$8,$J$9,$J$7)</f>
        <v>#NAME?</v>
      </c>
      <c r="D4" cm="1">
        <f t="array" ref="D4">BlackScholesCall($J$2,B4,$J$6,$J$5,0,$J$10)</f>
        <v>20.487105471776019</v>
      </c>
      <c r="E4" t="e">
        <f t="shared" ref="E4:E43" ca="1" si="0">C4-D4</f>
        <v>#NAME?</v>
      </c>
      <c r="F4" t="e">
        <f ca="1">(C4-C3)/(B4-B3)</f>
        <v>#NAME?</v>
      </c>
      <c r="G4">
        <f>(D4-D3)/(B4-B3)</f>
        <v>-0.90269989892300373</v>
      </c>
      <c r="I4" s="30" t="s">
        <v>27</v>
      </c>
      <c r="J4" s="31">
        <v>44833</v>
      </c>
    </row>
    <row r="5" spans="2:10" x14ac:dyDescent="0.2">
      <c r="B5">
        <v>82</v>
      </c>
      <c r="C5" t="e" cm="1">
        <f t="array" aca="1" ref="C5" ca="1">pricer_trino($J$5,$J$6,0,$J$3,$J$2,B5,$J$4,$J$3,$J$8,$J$9,$J$7)</f>
        <v>#NAME?</v>
      </c>
      <c r="D5" cm="1">
        <f t="array" ref="D5">BlackScholesCall($J$2,B5,$J$6,$J$5,0,$J$10)</f>
        <v>19.597156245931554</v>
      </c>
      <c r="E5" t="e">
        <f t="shared" ca="1" si="0"/>
        <v>#NAME?</v>
      </c>
      <c r="F5" t="e">
        <f t="shared" ref="F5:F43" ca="1" si="1">(C5-C4)/(B5-B4)</f>
        <v>#NAME?</v>
      </c>
      <c r="G5">
        <f t="shared" ref="G5:G43" si="2">(D5-D4)/(B5-B4)</f>
        <v>-0.88994922584446456</v>
      </c>
      <c r="I5" s="30" t="s">
        <v>28</v>
      </c>
      <c r="J5" s="32">
        <v>0.03</v>
      </c>
    </row>
    <row r="6" spans="2:10" x14ac:dyDescent="0.2">
      <c r="B6">
        <v>83</v>
      </c>
      <c r="C6" t="e" cm="1">
        <f t="array" aca="1" ref="C6" ca="1">pricer_trino($J$5,$J$6,0,$J$3,$J$2,B6,$J$4,$J$3,$J$8,$J$9,$J$7)</f>
        <v>#NAME?</v>
      </c>
      <c r="D6" cm="1">
        <f t="array" ref="D6">BlackScholesCall($J$2,B6,$J$6,$J$5,0,$J$10)</f>
        <v>18.721118510398</v>
      </c>
      <c r="E6" t="e">
        <f t="shared" ca="1" si="0"/>
        <v>#NAME?</v>
      </c>
      <c r="F6" t="e">
        <f t="shared" ca="1" si="1"/>
        <v>#NAME?</v>
      </c>
      <c r="G6">
        <f t="shared" si="2"/>
        <v>-0.87603773553355424</v>
      </c>
      <c r="I6" s="30" t="s">
        <v>30</v>
      </c>
      <c r="J6" s="32">
        <v>0.25</v>
      </c>
    </row>
    <row r="7" spans="2:10" x14ac:dyDescent="0.2">
      <c r="B7">
        <v>84</v>
      </c>
      <c r="C7" t="e" cm="1">
        <f t="array" aca="1" ref="C7" ca="1">pricer_trino($J$5,$J$6,0,$J$3,$J$2,B7,$J$4,$J$3,$J$8,$J$9,$J$7)</f>
        <v>#NAME?</v>
      </c>
      <c r="D7" cm="1">
        <f t="array" ref="D7">BlackScholesCall($J$2,B7,$J$6,$J$5,0,$J$10)</f>
        <v>17.860154099715313</v>
      </c>
      <c r="E7" t="e">
        <f t="shared" ca="1" si="0"/>
        <v>#NAME?</v>
      </c>
      <c r="F7" t="e">
        <f t="shared" ca="1" si="1"/>
        <v>#NAME?</v>
      </c>
      <c r="G7">
        <f t="shared" si="2"/>
        <v>-0.86096441068268703</v>
      </c>
      <c r="I7" s="30" t="s">
        <v>22</v>
      </c>
      <c r="J7" s="33">
        <v>10</v>
      </c>
    </row>
    <row r="8" spans="2:10" x14ac:dyDescent="0.2">
      <c r="B8">
        <v>85</v>
      </c>
      <c r="C8" t="e" cm="1">
        <f t="array" aca="1" ref="C8" ca="1">pricer_trino($J$5,$J$6,0,$J$3,$J$2,B8,$J$4,$J$3,$J$8,$J$9,$J$7)</f>
        <v>#NAME?</v>
      </c>
      <c r="D8" cm="1">
        <f t="array" ref="D8">BlackScholesCall($J$2,B8,$J$6,$J$5,0,$J$10)</f>
        <v>17.015413070579392</v>
      </c>
      <c r="E8" t="e">
        <f t="shared" ca="1" si="0"/>
        <v>#NAME?</v>
      </c>
      <c r="F8" t="e">
        <f t="shared" ca="1" si="1"/>
        <v>#NAME?</v>
      </c>
      <c r="G8">
        <f t="shared" si="2"/>
        <v>-0.8447410291359212</v>
      </c>
      <c r="I8" s="30" t="s">
        <v>9</v>
      </c>
      <c r="J8" s="33" t="s">
        <v>17</v>
      </c>
    </row>
    <row r="9" spans="2:10" x14ac:dyDescent="0.2">
      <c r="B9">
        <v>86</v>
      </c>
      <c r="C9" t="e" cm="1">
        <f t="array" aca="1" ref="C9" ca="1">pricer_trino($J$5,$J$6,0,$J$3,$J$2,B9,$J$4,$J$3,$J$8,$J$9,$J$7)</f>
        <v>#NAME?</v>
      </c>
      <c r="D9" cm="1">
        <f t="array" ref="D9">BlackScholesCall($J$2,B9,$J$6,$J$5,0,$J$10)</f>
        <v>16.18802079890423</v>
      </c>
      <c r="E9" t="e">
        <f t="shared" ca="1" si="0"/>
        <v>#NAME?</v>
      </c>
      <c r="F9" t="e">
        <f t="shared" ca="1" si="1"/>
        <v>#NAME?</v>
      </c>
      <c r="G9">
        <f t="shared" si="2"/>
        <v>-0.82739227167516205</v>
      </c>
      <c r="I9" s="30" t="s">
        <v>10</v>
      </c>
      <c r="J9" s="33" t="s">
        <v>29</v>
      </c>
    </row>
    <row r="10" spans="2:10" x14ac:dyDescent="0.2">
      <c r="B10">
        <v>87</v>
      </c>
      <c r="C10" t="e" cm="1">
        <f t="array" aca="1" ref="C10" ca="1">pricer_trino($J$5,$J$6,0,$J$3,$J$2,B10,$J$4,$J$3,$J$8,$J$9,$J$7)</f>
        <v>#NAME?</v>
      </c>
      <c r="D10" cm="1">
        <f t="array" ref="D10">BlackScholesCall($J$2,B10,$J$6,$J$5,0,$J$10)</f>
        <v>15.379065248633376</v>
      </c>
      <c r="E10" t="e">
        <f t="shared" ca="1" si="0"/>
        <v>#NAME?</v>
      </c>
      <c r="F10" t="e">
        <f t="shared" ca="1" si="1"/>
        <v>#NAME?</v>
      </c>
      <c r="G10">
        <f t="shared" si="2"/>
        <v>-0.80895555027085386</v>
      </c>
      <c r="I10" s="34" t="s">
        <v>31</v>
      </c>
      <c r="J10" s="35">
        <f>(Maturity_date-Pricing_date)/365</f>
        <v>0.40273972602739727</v>
      </c>
    </row>
    <row r="11" spans="2:10" x14ac:dyDescent="0.2">
      <c r="B11">
        <v>88</v>
      </c>
      <c r="C11" t="e" cm="1">
        <f t="array" aca="1" ref="C11" ca="1">pricer_trino($J$5,$J$6,0,$J$3,$J$2,B11,$J$4,$J$3,$J$8,$J$9,$J$7)</f>
        <v>#NAME?</v>
      </c>
      <c r="D11" cm="1">
        <f t="array" ref="D11">BlackScholesCall($J$2,B11,$J$6,$J$5,0,$J$10)</f>
        <v>14.589584682243373</v>
      </c>
      <c r="E11" t="e">
        <f t="shared" ca="1" si="0"/>
        <v>#NAME?</v>
      </c>
      <c r="F11" t="e">
        <f t="shared" ca="1" si="1"/>
        <v>#NAME?</v>
      </c>
      <c r="G11">
        <f t="shared" si="2"/>
        <v>-0.78948056639000264</v>
      </c>
    </row>
    <row r="12" spans="2:10" x14ac:dyDescent="0.2">
      <c r="B12">
        <v>89</v>
      </c>
      <c r="C12" t="e" cm="1">
        <f t="array" aca="1" ref="C12" ca="1">pricer_trino($J$5,$J$6,0,$J$3,$J$2,B12,$J$4,$J$3,$J$8,$J$9,$J$7)</f>
        <v>#NAME?</v>
      </c>
      <c r="D12" cm="1">
        <f t="array" ref="D12">BlackScholesCall($J$2,B12,$J$6,$J$5,0,$J$10)</f>
        <v>13.820556065028782</v>
      </c>
      <c r="E12" t="e">
        <f t="shared" ca="1" si="0"/>
        <v>#NAME?</v>
      </c>
      <c r="F12" t="e">
        <f t="shared" ca="1" si="1"/>
        <v>#NAME?</v>
      </c>
      <c r="G12">
        <f t="shared" si="2"/>
        <v>-0.76902861721459104</v>
      </c>
    </row>
    <row r="13" spans="2:10" x14ac:dyDescent="0.2">
      <c r="B13">
        <v>90</v>
      </c>
      <c r="C13" t="e" cm="1">
        <f t="array" aca="1" ref="C13" ca="1">pricer_trino($J$5,$J$6,0,$J$3,$J$2,B13,$J$4,$J$3,$J$8,$J$9,$J$7)</f>
        <v>#NAME?</v>
      </c>
      <c r="D13" cm="1">
        <f t="array" ref="D13">BlackScholesCall($J$2,B13,$J$6,$J$5,0,$J$10)</f>
        <v>13.072884390270683</v>
      </c>
      <c r="E13" t="e">
        <f t="shared" ca="1" si="0"/>
        <v>#NAME?</v>
      </c>
      <c r="F13" t="e">
        <f t="shared" ca="1" si="1"/>
        <v>#NAME?</v>
      </c>
      <c r="G13">
        <f t="shared" si="2"/>
        <v>-0.7476716747580987</v>
      </c>
    </row>
    <row r="14" spans="2:10" x14ac:dyDescent="0.2">
      <c r="B14">
        <v>91</v>
      </c>
      <c r="C14" t="e" cm="1">
        <f t="array" aca="1" ref="C14" ca="1">pricer_trino($J$5,$J$6,0,$J$3,$J$2,B14,$J$4,$J$3,$J$8,$J$9,$J$7)</f>
        <v>#NAME?</v>
      </c>
      <c r="D14" cm="1">
        <f t="array" ref="D14">BlackScholesCall($J$2,B14,$J$6,$J$5,0,$J$10)</f>
        <v>12.347393121608617</v>
      </c>
      <c r="E14" t="e">
        <f t="shared" ca="1" si="0"/>
        <v>#NAME?</v>
      </c>
      <c r="F14" t="e">
        <f t="shared" ca="1" si="1"/>
        <v>#NAME?</v>
      </c>
      <c r="G14">
        <f t="shared" si="2"/>
        <v>-0.7254912686620667</v>
      </c>
    </row>
    <row r="15" spans="2:10" x14ac:dyDescent="0.2">
      <c r="B15">
        <v>92</v>
      </c>
      <c r="C15" t="e" cm="1">
        <f t="array" aca="1" ref="C15" ca="1">pricer_trino($J$5,$J$6,0,$J$3,$J$2,B15,$J$4,$J$3,$J$8,$J$9,$J$7)</f>
        <v>#NAME?</v>
      </c>
      <c r="D15" cm="1">
        <f t="array" ref="D15">BlackScholesCall($J$2,B15,$J$6,$J$5,0,$J$10)</f>
        <v>11.644815913832552</v>
      </c>
      <c r="E15" t="e">
        <f t="shared" ca="1" si="0"/>
        <v>#NAME?</v>
      </c>
      <c r="F15" t="e">
        <f t="shared" ca="1" si="1"/>
        <v>#NAME?</v>
      </c>
      <c r="G15">
        <f t="shared" si="2"/>
        <v>-0.70257720777606458</v>
      </c>
    </row>
    <row r="16" spans="2:10" x14ac:dyDescent="0.2">
      <c r="B16">
        <v>93</v>
      </c>
      <c r="C16" t="e" cm="1">
        <f t="array" aca="1" ref="C16" ca="1">pricer_trino($J$5,$J$6,0,$J$3,$J$2,B16,$J$4,$J$3,$J$8,$J$9,$J$7)</f>
        <v>#NAME?</v>
      </c>
      <c r="D16" cm="1">
        <f t="array" ref="D16">BlackScholesCall($J$2,B16,$J$6,$J$5,0,$J$10)</f>
        <v>10.965789735408261</v>
      </c>
      <c r="E16" t="e">
        <f t="shared" ca="1" si="0"/>
        <v>#NAME?</v>
      </c>
      <c r="F16" t="e">
        <f t="shared" ca="1" si="1"/>
        <v>#NAME?</v>
      </c>
      <c r="G16">
        <f t="shared" si="2"/>
        <v>-0.6790261784242908</v>
      </c>
    </row>
    <row r="17" spans="2:7" x14ac:dyDescent="0.2">
      <c r="B17">
        <v>94</v>
      </c>
      <c r="C17" t="e" cm="1">
        <f t="array" aca="1" ref="C17" ca="1">pricer_trino($J$5,$J$6,0,$J$3,$J$2,B17,$J$4,$J$3,$J$8,$J$9,$J$7)</f>
        <v>#NAME?</v>
      </c>
      <c r="D17" cm="1">
        <f t="array" ref="D17">BlackScholesCall($J$2,B17,$J$6,$J$5,0,$J$10)</f>
        <v>10.310849476849477</v>
      </c>
      <c r="E17" t="e">
        <f t="shared" ca="1" si="0"/>
        <v>#NAME?</v>
      </c>
      <c r="F17" t="e">
        <f t="shared" ca="1" si="1"/>
        <v>#NAME?</v>
      </c>
      <c r="G17">
        <f t="shared" si="2"/>
        <v>-0.6549402585587849</v>
      </c>
    </row>
    <row r="18" spans="2:7" x14ac:dyDescent="0.2">
      <c r="B18">
        <v>95</v>
      </c>
      <c r="C18" t="e" cm="1">
        <f t="array" aca="1" ref="C18" ca="1">pricer_trino($J$5,$J$6,0,$J$3,$J$2,B18,$J$4,$J$3,$J$8,$J$9,$J$7)</f>
        <v>#NAME?</v>
      </c>
      <c r="D18" cm="1">
        <f t="array" ref="D18">BlackScholesCall($J$2,B18,$J$6,$J$5,0,$J$10)</f>
        <v>9.6804240899676035</v>
      </c>
      <c r="E18" t="e">
        <f t="shared" ca="1" si="0"/>
        <v>#NAME?</v>
      </c>
      <c r="F18" t="e">
        <f t="shared" ca="1" si="1"/>
        <v>#NAME?</v>
      </c>
      <c r="G18">
        <f t="shared" si="2"/>
        <v>-0.630425386881873</v>
      </c>
    </row>
    <row r="19" spans="2:7" x14ac:dyDescent="0.2">
      <c r="B19">
        <v>96</v>
      </c>
      <c r="C19" t="e" cm="1">
        <f t="array" aca="1" ref="C19" ca="1">pricer_trino($J$5,$J$6,0,$J$3,$J$2,B19,$J$4,$J$3,$J$8,$J$9,$J$7)</f>
        <v>#NAME?</v>
      </c>
      <c r="D19" cm="1">
        <f t="array" ref="D19">BlackScholesCall($J$2,B19,$J$6,$J$5,0,$J$10)</f>
        <v>9.0748342653414582</v>
      </c>
      <c r="E19" t="e">
        <f t="shared" ca="1" si="0"/>
        <v>#NAME?</v>
      </c>
      <c r="F19" t="e">
        <f t="shared" ca="1" si="1"/>
        <v>#NAME?</v>
      </c>
      <c r="G19">
        <f t="shared" si="2"/>
        <v>-0.6055898246261453</v>
      </c>
    </row>
    <row r="20" spans="2:7" x14ac:dyDescent="0.2">
      <c r="B20">
        <v>97</v>
      </c>
      <c r="C20" t="e" cm="1">
        <f t="array" aca="1" ref="C20" ca="1">pricer_trino($J$5,$J$6,0,$J$3,$J$2,B20,$J$4,$J$3,$J$8,$J$9,$J$7)</f>
        <v>#NAME?</v>
      </c>
      <c r="D20" cm="1">
        <f t="array" ref="D20">BlackScholesCall($J$2,B20,$J$6,$J$5,0,$J$10)</f>
        <v>8.4942916201575631</v>
      </c>
      <c r="E20" t="e">
        <f t="shared" ca="1" si="0"/>
        <v>#NAME?</v>
      </c>
      <c r="F20" t="e">
        <f t="shared" ca="1" si="1"/>
        <v>#NAME?</v>
      </c>
      <c r="G20">
        <f t="shared" si="2"/>
        <v>-0.58054264518389509</v>
      </c>
    </row>
    <row r="21" spans="2:7" x14ac:dyDescent="0.2">
      <c r="B21">
        <v>98</v>
      </c>
      <c r="C21" t="e" cm="1">
        <f t="array" aca="1" ref="C21" ca="1">pricer_trino($J$5,$J$6,0,$J$3,$J$2,B21,$J$4,$J$3,$J$8,$J$9,$J$7)</f>
        <v>#NAME?</v>
      </c>
      <c r="D21" cm="1">
        <f t="array" ref="D21">BlackScholesCall($J$2,B21,$J$6,$J$5,0,$J$10)</f>
        <v>7.9388993367710112</v>
      </c>
      <c r="E21" t="e">
        <f t="shared" ca="1" si="0"/>
        <v>#NAME?</v>
      </c>
      <c r="F21" t="e">
        <f t="shared" ca="1" si="1"/>
        <v>#NAME?</v>
      </c>
      <c r="G21">
        <f t="shared" si="2"/>
        <v>-0.55539228338655189</v>
      </c>
    </row>
    <row r="22" spans="2:7" x14ac:dyDescent="0.2">
      <c r="B22">
        <v>99</v>
      </c>
      <c r="C22" t="e" cm="1">
        <f t="array" aca="1" ref="C22" ca="1">pricer_trino($J$5,$J$6,0,$J$3,$J$2,B22,$J$4,$J$3,$J$8,$J$9,$J$7)</f>
        <v>#NAME?</v>
      </c>
      <c r="D22" cm="1">
        <f t="array" ref="D22">BlackScholesCall($J$2,B22,$J$6,$J$5,0,$J$10)</f>
        <v>7.4086541646129174</v>
      </c>
      <c r="E22" t="e">
        <f t="shared" ca="1" si="0"/>
        <v>#NAME?</v>
      </c>
      <c r="F22" t="e">
        <f t="shared" ca="1" si="1"/>
        <v>#NAME?</v>
      </c>
      <c r="G22">
        <f t="shared" si="2"/>
        <v>-0.53024517215809386</v>
      </c>
    </row>
    <row r="23" spans="2:7" x14ac:dyDescent="0.2">
      <c r="B23">
        <v>100</v>
      </c>
      <c r="C23" t="e" cm="1">
        <f t="array" aca="1" ref="C23" ca="1">pricer_trino($J$5,$J$6,0,$J$3,$J$2,B23,$J$4,$J$3,$J$8,$J$9,$J$7)</f>
        <v>#NAME?</v>
      </c>
      <c r="D23" cm="1">
        <f t="array" ref="D23">BlackScholesCall($J$2,B23,$J$6,$J$5,0,$J$10)</f>
        <v>6.9034496748840208</v>
      </c>
      <c r="E23" t="e">
        <f t="shared" ca="1" si="0"/>
        <v>#NAME?</v>
      </c>
      <c r="F23" t="e">
        <f t="shared" ca="1" si="1"/>
        <v>#NAME?</v>
      </c>
      <c r="G23">
        <f t="shared" si="2"/>
        <v>-0.50520448972889653</v>
      </c>
    </row>
    <row r="24" spans="2:7" x14ac:dyDescent="0.2">
      <c r="B24">
        <v>101</v>
      </c>
      <c r="C24" t="e" cm="1">
        <f t="array" aca="1" ref="C24" ca="1">pricer_trino($J$5,$J$6,0,$J$3,$J$2,B24,$J$4,$J$3,$J$8,$J$9,$J$7)</f>
        <v>#NAME?</v>
      </c>
      <c r="D24" cm="1">
        <f t="array" ref="D24">BlackScholesCall($J$2,B24,$J$6,$J$5,0,$J$10)</f>
        <v>6.4230806390845148</v>
      </c>
      <c r="E24" t="e">
        <f t="shared" ca="1" si="0"/>
        <v>#NAME?</v>
      </c>
      <c r="F24" t="e">
        <f t="shared" ca="1" si="1"/>
        <v>#NAME?</v>
      </c>
      <c r="G24">
        <f t="shared" si="2"/>
        <v>-0.48036903579950607</v>
      </c>
    </row>
    <row r="25" spans="2:7" x14ac:dyDescent="0.2">
      <c r="B25">
        <v>102</v>
      </c>
      <c r="C25" t="e" cm="1">
        <f t="array" aca="1" ref="C25" ca="1">pricer_trino($J$5,$J$6,0,$J$3,$J$2,B25,$J$4,$J$3,$J$8,$J$9,$J$7)</f>
        <v>#NAME?</v>
      </c>
      <c r="D25" cm="1">
        <f t="array" ref="D25">BlackScholesCall($J$2,B25,$J$6,$J$5,0,$J$10)</f>
        <v>5.9672483888957499</v>
      </c>
      <c r="E25" t="e">
        <f t="shared" ca="1" si="0"/>
        <v>#NAME?</v>
      </c>
      <c r="F25" t="e">
        <f t="shared" ca="1" si="1"/>
        <v>#NAME?</v>
      </c>
      <c r="G25">
        <f t="shared" si="2"/>
        <v>-0.45583225018876483</v>
      </c>
    </row>
    <row r="26" spans="2:7" x14ac:dyDescent="0.2">
      <c r="B26">
        <v>103</v>
      </c>
      <c r="C26" t="e" cm="1">
        <f t="array" aca="1" ref="C26" ca="1">pricer_trino($J$5,$J$6,0,$J$3,$J$2,B26,$J$4,$J$3,$J$8,$J$9,$J$7)</f>
        <v>#NAME?</v>
      </c>
      <c r="D26" cm="1">
        <f t="array" ref="D26">BlackScholesCall($J$2,B26,$J$6,$J$5,0,$J$10)</f>
        <v>5.5355670061473115</v>
      </c>
      <c r="E26" t="e">
        <f t="shared" ca="1" si="0"/>
        <v>#NAME?</v>
      </c>
      <c r="F26" t="e">
        <f t="shared" ca="1" si="1"/>
        <v>#NAME?</v>
      </c>
      <c r="G26">
        <f t="shared" si="2"/>
        <v>-0.43168138274843848</v>
      </c>
    </row>
    <row r="27" spans="2:7" x14ac:dyDescent="0.2">
      <c r="B27">
        <v>104</v>
      </c>
      <c r="C27" t="e" cm="1">
        <f t="array" aca="1" ref="C27" ca="1">pricer_trino($J$5,$J$6,0,$J$3,$J$2,B27,$J$4,$J$3,$J$8,$J$9,$J$7)</f>
        <v>#NAME?</v>
      </c>
      <c r="D27" cm="1">
        <f t="array" ref="D27">BlackScholesCall($J$2,B27,$J$6,$J$5,0,$J$10)</f>
        <v>5.127570187315591</v>
      </c>
      <c r="E27" t="e">
        <f t="shared" ca="1" si="0"/>
        <v>#NAME?</v>
      </c>
      <c r="F27" t="e">
        <f t="shared" ca="1" si="1"/>
        <v>#NAME?</v>
      </c>
      <c r="G27">
        <f t="shared" si="2"/>
        <v>-0.40799681883172045</v>
      </c>
    </row>
    <row r="28" spans="2:7" x14ac:dyDescent="0.2">
      <c r="B28">
        <v>105</v>
      </c>
      <c r="C28" t="e" cm="1">
        <f t="array" aca="1" ref="C28" ca="1">pricer_trino($J$5,$J$6,0,$J$3,$J$2,B28,$J$4,$J$3,$J$8,$J$9,$J$7)</f>
        <v>#NAME?</v>
      </c>
      <c r="D28" cm="1">
        <f t="array" ref="D28">BlackScholesCall($J$2,B28,$J$6,$J$5,0,$J$10)</f>
        <v>4.742718626843816</v>
      </c>
      <c r="E28" t="e">
        <f t="shared" ca="1" si="0"/>
        <v>#NAME?</v>
      </c>
      <c r="F28" t="e">
        <f t="shared" ca="1" si="1"/>
        <v>#NAME?</v>
      </c>
      <c r="G28">
        <f t="shared" si="2"/>
        <v>-0.38485156047177504</v>
      </c>
    </row>
    <row r="29" spans="2:7" x14ac:dyDescent="0.2">
      <c r="B29">
        <v>106</v>
      </c>
      <c r="C29" t="e" cm="1">
        <f t="array" aca="1" ref="C29" ca="1">pricer_trino($J$5,$J$6,0,$J$3,$J$2,B29,$J$4,$J$3,$J$8,$J$9,$J$7)</f>
        <v>#NAME?</v>
      </c>
      <c r="D29" cm="1">
        <f t="array" ref="D29">BlackScholesCall($J$2,B29,$J$6,$J$5,0,$J$10)</f>
        <v>4.3804077670907375</v>
      </c>
      <c r="E29" t="e">
        <f t="shared" ca="1" si="0"/>
        <v>#NAME?</v>
      </c>
      <c r="F29" t="e">
        <f t="shared" ca="1" si="1"/>
        <v>#NAME?</v>
      </c>
      <c r="G29">
        <f t="shared" si="2"/>
        <v>-0.36231085975307842</v>
      </c>
    </row>
    <row r="30" spans="2:7" x14ac:dyDescent="0.2">
      <c r="B30">
        <v>107</v>
      </c>
      <c r="C30" t="e" cm="1">
        <f t="array" aca="1" ref="C30" ca="1">pricer_trino($J$5,$J$6,0,$J$3,$J$2,B30,$J$4,$J$3,$J$8,$J$9,$J$7)</f>
        <v>#NAME?</v>
      </c>
      <c r="D30" cm="1">
        <f t="array" ref="D30">BlackScholesCall($J$2,B30,$J$6,$J$5,0,$J$10)</f>
        <v>4.0399757693938563</v>
      </c>
      <c r="E30" t="e">
        <f t="shared" ca="1" si="0"/>
        <v>#NAME?</v>
      </c>
      <c r="F30" t="e">
        <f t="shared" ca="1" si="1"/>
        <v>#NAME?</v>
      </c>
      <c r="G30">
        <f t="shared" si="2"/>
        <v>-0.34043199769688126</v>
      </c>
    </row>
    <row r="31" spans="2:7" x14ac:dyDescent="0.2">
      <c r="B31">
        <v>108</v>
      </c>
      <c r="C31" t="e" cm="1">
        <f t="array" aca="1" ref="C31" ca="1">pricer_trino($J$5,$J$6,0,$J$3,$J$2,B31,$J$4,$J$3,$J$8,$J$9,$J$7)</f>
        <v>#NAME?</v>
      </c>
      <c r="D31" cm="1">
        <f t="array" ref="D31">BlackScholesCall($J$2,B31,$J$6,$J$5,0,$J$10)</f>
        <v>3.7207115700269631</v>
      </c>
      <c r="E31" t="e">
        <f t="shared" ca="1" si="0"/>
        <v>#NAME?</v>
      </c>
      <c r="F31" t="e">
        <f t="shared" ca="1" si="1"/>
        <v>#NAME?</v>
      </c>
      <c r="G31">
        <f t="shared" si="2"/>
        <v>-0.31926419936689321</v>
      </c>
    </row>
    <row r="32" spans="2:7" x14ac:dyDescent="0.2">
      <c r="B32">
        <v>109</v>
      </c>
      <c r="C32" t="e" cm="1">
        <f t="array" aca="1" ref="C32" ca="1">pricer_trino($J$5,$J$6,0,$J$3,$J$2,B32,$J$4,$J$3,$J$8,$J$9,$J$7)</f>
        <v>#NAME?</v>
      </c>
      <c r="D32" cm="1">
        <f t="array" ref="D32">BlackScholesCall($J$2,B32,$J$6,$J$5,0,$J$10)</f>
        <v>3.4218628961862541</v>
      </c>
      <c r="E32" t="e">
        <f t="shared" ca="1" si="0"/>
        <v>#NAME?</v>
      </c>
      <c r="F32" t="e">
        <f t="shared" ca="1" si="1"/>
        <v>#NAME?</v>
      </c>
      <c r="G32">
        <f t="shared" si="2"/>
        <v>-0.29884867384070901</v>
      </c>
    </row>
    <row r="33" spans="2:7" x14ac:dyDescent="0.2">
      <c r="B33">
        <v>110</v>
      </c>
      <c r="C33" t="e" cm="1">
        <f t="array" aca="1" ref="C33" ca="1">pricer_trino($J$5,$J$6,0,$J$3,$J$2,B33,$J$4,$J$3,$J$8,$J$9,$J$7)</f>
        <v>#NAME?</v>
      </c>
      <c r="D33" cm="1">
        <f t="array" ref="D33">BlackScholesCall($J$2,B33,$J$6,$J$5,0,$J$10)</f>
        <v>3.1426441300109471</v>
      </c>
      <c r="E33" t="e">
        <f t="shared" ca="1" si="0"/>
        <v>#NAME?</v>
      </c>
      <c r="F33" t="e">
        <f t="shared" ca="1" si="1"/>
        <v>#NAME?</v>
      </c>
      <c r="G33">
        <f t="shared" si="2"/>
        <v>-0.27921876617530694</v>
      </c>
    </row>
    <row r="34" spans="2:7" x14ac:dyDescent="0.2">
      <c r="B34">
        <v>111</v>
      </c>
      <c r="C34" t="e" cm="1">
        <f t="array" aca="1" ref="C34" ca="1">pricer_trino($J$5,$J$6,0,$J$3,$J$2,B34,$J$4,$J$3,$J$8,$J$9,$J$7)</f>
        <v>#NAME?</v>
      </c>
      <c r="D34" cm="1">
        <f t="array" ref="D34">BlackScholesCall($J$2,B34,$J$6,$J$5,0,$J$10)</f>
        <v>2.8822439225180903</v>
      </c>
      <c r="E34" t="e">
        <f t="shared" ca="1" si="0"/>
        <v>#NAME?</v>
      </c>
      <c r="F34" t="e">
        <f t="shared" ca="1" si="1"/>
        <v>#NAME?</v>
      </c>
      <c r="G34">
        <f t="shared" si="2"/>
        <v>-0.26040020749285686</v>
      </c>
    </row>
    <row r="35" spans="2:7" x14ac:dyDescent="0.2">
      <c r="B35">
        <v>112</v>
      </c>
      <c r="C35" t="e" cm="1">
        <f t="array" aca="1" ref="C35" ca="1">pricer_trino($J$5,$J$6,0,$J$3,$J$2,B35,$J$4,$J$3,$J$8,$J$9,$J$7)</f>
        <v>#NAME?</v>
      </c>
      <c r="D35" cm="1">
        <f t="array" ref="D35">BlackScholesCall($J$2,B35,$J$6,$J$5,0,$J$10)</f>
        <v>2.6398324737322842</v>
      </c>
      <c r="E35" t="e">
        <f t="shared" ca="1" si="0"/>
        <v>#NAME?</v>
      </c>
      <c r="F35" t="e">
        <f t="shared" ca="1" si="1"/>
        <v>#NAME?</v>
      </c>
      <c r="G35">
        <f t="shared" si="2"/>
        <v>-0.24241144878580601</v>
      </c>
    </row>
    <row r="36" spans="2:7" x14ac:dyDescent="0.2">
      <c r="B36">
        <v>113</v>
      </c>
      <c r="C36" t="e" cm="1">
        <f t="array" aca="1" ref="C36" ca="1">pricer_trino($J$5,$J$6,0,$J$3,$J$2,B36,$J$4,$J$3,$J$8,$J$9,$J$7)</f>
        <v>#NAME?</v>
      </c>
      <c r="D36" cm="1">
        <f t="array" ref="D36">BlackScholesCall($J$2,B36,$J$6,$J$5,0,$J$10)</f>
        <v>2.4145684097950331</v>
      </c>
      <c r="E36" t="e">
        <f t="shared" ca="1" si="0"/>
        <v>#NAME?</v>
      </c>
      <c r="F36" t="e">
        <f t="shared" ca="1" si="1"/>
        <v>#NAME?</v>
      </c>
      <c r="G36">
        <f t="shared" si="2"/>
        <v>-0.22526406393725118</v>
      </c>
    </row>
    <row r="37" spans="2:7" x14ac:dyDescent="0.2">
      <c r="B37">
        <v>114</v>
      </c>
      <c r="C37" t="e" cm="1">
        <f t="array" aca="1" ref="C37" ca="1">pricer_trino($J$5,$J$6,0,$J$3,$J$2,B37,$J$4,$J$3,$J$8,$J$9,$J$7)</f>
        <v>#NAME?</v>
      </c>
      <c r="D37" cm="1">
        <f t="array" ref="D37">BlackScholesCall($J$2,B37,$J$6,$J$5,0,$J$10)</f>
        <v>2.2056052020780323</v>
      </c>
      <c r="E37" t="e">
        <f t="shared" ca="1" si="0"/>
        <v>#NAME?</v>
      </c>
      <c r="F37" t="e">
        <f t="shared" ca="1" si="1"/>
        <v>#NAME?</v>
      </c>
      <c r="G37">
        <f t="shared" si="2"/>
        <v>-0.20896320771700072</v>
      </c>
    </row>
    <row r="38" spans="2:7" x14ac:dyDescent="0.2">
      <c r="B38">
        <v>115</v>
      </c>
      <c r="C38" t="e" cm="1">
        <f t="array" aca="1" ref="C38" ca="1">pricer_trino($J$5,$J$6,0,$J$3,$J$2,B38,$J$4,$J$3,$J$8,$J$9,$J$7)</f>
        <v>#NAME?</v>
      </c>
      <c r="D38" cm="1">
        <f t="array" ref="D38">BlackScholesCall($J$2,B38,$J$6,$J$5,0,$J$10)</f>
        <v>2.012097086990277</v>
      </c>
      <c r="E38" t="e">
        <f t="shared" ca="1" si="0"/>
        <v>#NAME?</v>
      </c>
      <c r="F38" t="e">
        <f t="shared" ca="1" si="1"/>
        <v>#NAME?</v>
      </c>
      <c r="G38">
        <f t="shared" si="2"/>
        <v>-0.19350811508775534</v>
      </c>
    </row>
    <row r="39" spans="2:7" x14ac:dyDescent="0.2">
      <c r="B39">
        <v>116</v>
      </c>
      <c r="C39" t="e" cm="1">
        <f t="array" aca="1" ref="C39" ca="1">pricer_trino($J$5,$J$6,0,$J$3,$J$2,B39,$J$4,$J$3,$J$8,$J$9,$J$7)</f>
        <v>#NAME?</v>
      </c>
      <c r="D39" cm="1">
        <f t="array" ref="D39">BlackScholesCall($J$2,B39,$J$6,$J$5,0,$J$10)</f>
        <v>1.8332044580125852</v>
      </c>
      <c r="E39" t="e">
        <f t="shared" ca="1" si="0"/>
        <v>#NAME?</v>
      </c>
      <c r="F39" t="e">
        <f t="shared" ca="1" si="1"/>
        <v>#NAME?</v>
      </c>
      <c r="G39">
        <f t="shared" si="2"/>
        <v>-0.17889262897769176</v>
      </c>
    </row>
    <row r="40" spans="2:7" x14ac:dyDescent="0.2">
      <c r="B40">
        <v>117</v>
      </c>
      <c r="C40" t="e" cm="1">
        <f t="array" aca="1" ref="C40" ca="1">pricer_trino($J$5,$J$6,0,$J$3,$J$2,B40,$J$4,$J$3,$J$8,$J$9,$J$7)</f>
        <v>#NAME?</v>
      </c>
      <c r="D40" cm="1">
        <f t="array" ref="D40">BlackScholesCall($J$2,B40,$J$6,$J$5,0,$J$10)</f>
        <v>1.6680987133238776</v>
      </c>
      <c r="E40" t="e">
        <f t="shared" ca="1" si="0"/>
        <v>#NAME?</v>
      </c>
      <c r="F40" t="e">
        <f t="shared" ca="1" si="1"/>
        <v>#NAME?</v>
      </c>
      <c r="G40">
        <f t="shared" si="2"/>
        <v>-0.16510574468870765</v>
      </c>
    </row>
    <row r="41" spans="2:7" x14ac:dyDescent="0.2">
      <c r="B41">
        <v>118</v>
      </c>
      <c r="C41" t="e" cm="1">
        <f t="array" aca="1" ref="C41" ca="1">pricer_trino($J$5,$J$6,0,$J$3,$J$2,B41,$J$4,$J$3,$J$8,$J$9,$J$7)</f>
        <v>#NAME?</v>
      </c>
      <c r="D41" cm="1">
        <f t="array" ref="D41">BlackScholesCall($J$2,B41,$J$6,$J$5,0,$J$10)</f>
        <v>1.5159665530656785</v>
      </c>
      <c r="E41" t="e">
        <f t="shared" ca="1" si="0"/>
        <v>#NAME?</v>
      </c>
      <c r="F41" t="e">
        <f t="shared" ca="1" si="1"/>
        <v>#NAME?</v>
      </c>
      <c r="G41">
        <f t="shared" si="2"/>
        <v>-0.15213216025819909</v>
      </c>
    </row>
    <row r="42" spans="2:7" x14ac:dyDescent="0.2">
      <c r="B42">
        <v>119</v>
      </c>
      <c r="C42" t="e" cm="1">
        <f t="array" aca="1" ref="C42" ca="1">pricer_trino($J$5,$J$6,0,$J$3,$J$2,B42,$J$4,$J$3,$J$8,$J$9,$J$7)</f>
        <v>#NAME?</v>
      </c>
      <c r="D42" cm="1">
        <f t="array" ref="D42">BlackScholesCall($J$2,B42,$J$6,$J$5,0,$J$10)</f>
        <v>1.3760137297392587</v>
      </c>
      <c r="E42" t="e">
        <f t="shared" ca="1" si="0"/>
        <v>#NAME?</v>
      </c>
      <c r="F42" t="e">
        <f t="shared" ca="1" si="1"/>
        <v>#NAME?</v>
      </c>
      <c r="G42">
        <f t="shared" si="2"/>
        <v>-0.13995282332641978</v>
      </c>
    </row>
    <row r="43" spans="2:7" x14ac:dyDescent="0.2">
      <c r="B43">
        <v>120</v>
      </c>
      <c r="C43" t="e" cm="1">
        <f t="array" aca="1" ref="C43" ca="1">pricer_trino($J$5,$J$6,0,$J$3,$J$2,B43,$J$4,$J$3,$J$8,$J$9,$J$7)</f>
        <v>#NAME?</v>
      </c>
      <c r="D43" cm="1">
        <f t="array" ref="D43">BlackScholesCall($J$2,B43,$J$6,$J$5,0,$J$10)</f>
        <v>1.2474682634028247</v>
      </c>
      <c r="E43" t="e">
        <f t="shared" ca="1" si="0"/>
        <v>#NAME?</v>
      </c>
      <c r="F43" t="e">
        <f t="shared" ca="1" si="1"/>
        <v>#NAME?</v>
      </c>
      <c r="G43">
        <f t="shared" si="2"/>
        <v>-0.12854546633643404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28</vt:i4>
      </vt:variant>
    </vt:vector>
  </HeadingPairs>
  <TitlesOfParts>
    <vt:vector size="32" baseType="lpstr">
      <vt:lpstr>Pricer</vt:lpstr>
      <vt:lpstr>BS</vt:lpstr>
      <vt:lpstr>Steps</vt:lpstr>
      <vt:lpstr>Strike</vt:lpstr>
      <vt:lpstr>Black_Scholes_price</vt:lpstr>
      <vt:lpstr>Div_ex_date</vt:lpstr>
      <vt:lpstr>Dividend</vt:lpstr>
      <vt:lpstr>Error_upper_bound</vt:lpstr>
      <vt:lpstr>Exe</vt:lpstr>
      <vt:lpstr>Exercise</vt:lpstr>
      <vt:lpstr>Int_rate</vt:lpstr>
      <vt:lpstr>Interest_rate</vt:lpstr>
      <vt:lpstr>Maturity</vt:lpstr>
      <vt:lpstr>Maturity_date</vt:lpstr>
      <vt:lpstr>Nb_steps</vt:lpstr>
      <vt:lpstr>Price</vt:lpstr>
      <vt:lpstr>Price_py</vt:lpstr>
      <vt:lpstr>Pricing_date</vt:lpstr>
      <vt:lpstr>Pruning</vt:lpstr>
      <vt:lpstr>Run_time</vt:lpstr>
      <vt:lpstr>Start_date</vt:lpstr>
      <vt:lpstr>Start_price</vt:lpstr>
      <vt:lpstr>Steps</vt:lpstr>
      <vt:lpstr>Stock_price</vt:lpstr>
      <vt:lpstr>Strike</vt:lpstr>
      <vt:lpstr>Strikee</vt:lpstr>
      <vt:lpstr>Time</vt:lpstr>
      <vt:lpstr>Trinomial_price</vt:lpstr>
      <vt:lpstr>Type</vt:lpstr>
      <vt:lpstr>Typo</vt:lpstr>
      <vt:lpstr>Vol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</dc:creator>
  <cp:lastModifiedBy>Microsoft Office User</cp:lastModifiedBy>
  <dcterms:created xsi:type="dcterms:W3CDTF">2022-09-22T15:18:25Z</dcterms:created>
  <dcterms:modified xsi:type="dcterms:W3CDTF">2022-12-15T22:18:34Z</dcterms:modified>
</cp:coreProperties>
</file>